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USER\Desktop\Data Analysis\Excel Class\"/>
    </mc:Choice>
  </mc:AlternateContent>
  <xr:revisionPtr revIDLastSave="0" documentId="13_ncr:1_{2905E556-ADCF-4448-BDCE-B8057A820C62}" xr6:coauthVersionLast="47" xr6:coauthVersionMax="47" xr10:uidLastSave="{00000000-0000-0000-0000-000000000000}"/>
  <bookViews>
    <workbookView xWindow="-110" yWindow="-110" windowWidth="19420" windowHeight="11020" activeTab="4" xr2:uid="{F78F968A-452E-4AB2-8434-7EB638E2B331}"/>
  </bookViews>
  <sheets>
    <sheet name="Uncleaned" sheetId="12" r:id="rId1"/>
    <sheet name="Cleaned" sheetId="1" r:id="rId2"/>
    <sheet name="pivot_table" sheetId="3" r:id="rId3"/>
    <sheet name="dashboard (2)" sheetId="13" r:id="rId4"/>
    <sheet name="dashboard" sheetId="4" r:id="rId5"/>
    <sheet name="Sheet2" sheetId="8" r:id="rId6"/>
  </sheets>
  <definedNames>
    <definedName name="_xlnm._FilterDatabase" localSheetId="1" hidden="1">Cleaned!$A$1:$O$181</definedName>
    <definedName name="Slicer_Age">#N/A</definedName>
    <definedName name="Slicer_Gender">#N/A</definedName>
    <definedName name="Slicer_Gender1">#N/A</definedName>
    <definedName name="Slicer_Grade">#N/A</definedName>
    <definedName name="Slicer_Java">#N/A</definedName>
    <definedName name="Slicer_Java1">#N/A</definedName>
    <definedName name="Slicer_Python">#N/A</definedName>
    <definedName name="Slicer_Python1">#N/A</definedName>
    <definedName name="Slicer_SQL">#N/A</definedName>
    <definedName name="Slicer_SQL1">#N/A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a="1"/>
  <c r="F3" i="1" s="1"/>
  <c r="F4" i="1" a="1"/>
  <c r="F4" i="1" s="1"/>
  <c r="F5" i="1" a="1"/>
  <c r="F5" i="1" s="1"/>
  <c r="F6" i="1" a="1"/>
  <c r="F6" i="1" s="1"/>
  <c r="F7" i="1" a="1"/>
  <c r="F7" i="1" s="1"/>
  <c r="F8" i="1" a="1"/>
  <c r="F8" i="1" s="1"/>
  <c r="F9" i="1" a="1"/>
  <c r="F9" i="1" s="1"/>
  <c r="F10" i="1" a="1"/>
  <c r="F10" i="1"/>
  <c r="F11" i="1" a="1"/>
  <c r="F11" i="1" s="1"/>
  <c r="F12" i="1" a="1"/>
  <c r="F12" i="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c r="F27" i="1" a="1"/>
  <c r="F27" i="1" s="1"/>
  <c r="F28" i="1" a="1"/>
  <c r="F28" i="1" s="1"/>
  <c r="F29" i="1" a="1"/>
  <c r="F29" i="1" s="1"/>
  <c r="F30" i="1" a="1"/>
  <c r="F30" i="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c r="F43" i="1" a="1"/>
  <c r="F43" i="1" s="1"/>
  <c r="F44" i="1" a="1"/>
  <c r="F44" i="1" s="1"/>
  <c r="F45" i="1" a="1"/>
  <c r="F45" i="1" s="1"/>
  <c r="F46" i="1" a="1"/>
  <c r="F46" i="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c r="F59" i="1" a="1"/>
  <c r="F59" i="1" s="1"/>
  <c r="F60" i="1" a="1"/>
  <c r="F60" i="1" s="1"/>
  <c r="F61" i="1" a="1"/>
  <c r="F61" i="1" s="1"/>
  <c r="F62" i="1" a="1"/>
  <c r="F62" i="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c r="F75" i="1" a="1"/>
  <c r="F75" i="1" s="1"/>
  <c r="F76" i="1" a="1"/>
  <c r="F76" i="1" s="1"/>
  <c r="F77" i="1" a="1"/>
  <c r="F77" i="1" s="1"/>
  <c r="F78" i="1" a="1"/>
  <c r="F78" i="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c r="F91" i="1" a="1"/>
  <c r="F91" i="1" s="1"/>
  <c r="F92" i="1" a="1"/>
  <c r="F92" i="1" s="1"/>
  <c r="F93" i="1" a="1"/>
  <c r="F93" i="1" s="1"/>
  <c r="F94" i="1" a="1"/>
  <c r="F94" i="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c r="F107" i="1" a="1"/>
  <c r="F107" i="1" s="1"/>
  <c r="F108" i="1" a="1"/>
  <c r="F108" i="1" s="1"/>
  <c r="F109" i="1" a="1"/>
  <c r="F109" i="1" s="1"/>
  <c r="F110" i="1" a="1"/>
  <c r="F110" i="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c r="F123" i="1" a="1"/>
  <c r="F123" i="1" s="1"/>
  <c r="F124" i="1" a="1"/>
  <c r="F124" i="1" s="1"/>
  <c r="F125" i="1" a="1"/>
  <c r="F125" i="1" s="1"/>
  <c r="F126" i="1" a="1"/>
  <c r="F126" i="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c r="F139" i="1" a="1"/>
  <c r="F139" i="1" s="1"/>
  <c r="F140" i="1" a="1"/>
  <c r="F140" i="1" s="1"/>
  <c r="F141" i="1" a="1"/>
  <c r="F141" i="1" s="1"/>
  <c r="F142" i="1" a="1"/>
  <c r="F142" i="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c r="F155" i="1" a="1"/>
  <c r="F155" i="1" s="1"/>
  <c r="F156" i="1" a="1"/>
  <c r="F156" i="1" s="1"/>
  <c r="F157" i="1" a="1"/>
  <c r="F157" i="1" s="1"/>
  <c r="F158" i="1" a="1"/>
  <c r="F158" i="1"/>
  <c r="F159" i="1" a="1"/>
  <c r="F159" i="1" s="1"/>
  <c r="F160" i="1" a="1"/>
  <c r="F160" i="1" s="1"/>
  <c r="F161" i="1" a="1"/>
  <c r="F161" i="1" s="1"/>
  <c r="F162" i="1" a="1"/>
  <c r="F162" i="1" s="1"/>
  <c r="F163" i="1" a="1"/>
  <c r="F163" i="1" s="1"/>
  <c r="F164" i="1" a="1"/>
  <c r="F164" i="1" s="1"/>
  <c r="F165" i="1" a="1"/>
  <c r="F165" i="1" s="1"/>
  <c r="F166" i="1" a="1"/>
  <c r="F166" i="1"/>
  <c r="F167" i="1" a="1"/>
  <c r="F167" i="1" s="1"/>
  <c r="F168" i="1" a="1"/>
  <c r="F168" i="1" s="1"/>
  <c r="F169" i="1" a="1"/>
  <c r="F169" i="1" s="1"/>
  <c r="F170" i="1" a="1"/>
  <c r="F170" i="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2" i="1" a="1"/>
  <c r="F2" i="1" s="1"/>
  <c r="O2"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<sst xmlns="http://schemas.openxmlformats.org/spreadsheetml/2006/main" count="3247" uniqueCount="245">
  <si>
    <t>Name</t>
  </si>
  <si>
    <t>Gender</t>
  </si>
  <si>
    <t>Age</t>
  </si>
  <si>
    <t>GPA</t>
  </si>
  <si>
    <t>Major</t>
  </si>
  <si>
    <t>Interested Domain</t>
  </si>
  <si>
    <t>Projects</t>
  </si>
  <si>
    <t>Future Career</t>
  </si>
  <si>
    <t>Python</t>
  </si>
  <si>
    <t>SQL</t>
  </si>
  <si>
    <t>Java</t>
  </si>
  <si>
    <t>John Smith</t>
  </si>
  <si>
    <t>Male</t>
  </si>
  <si>
    <t>Computer Science</t>
  </si>
  <si>
    <t>Artificial Intelligence</t>
  </si>
  <si>
    <t>Chatbot Development</t>
  </si>
  <si>
    <t>Machine Learning Researcher</t>
  </si>
  <si>
    <t>Strong</t>
  </si>
  <si>
    <t>Weak</t>
  </si>
  <si>
    <t>Alice Johnson</t>
  </si>
  <si>
    <t>Female</t>
  </si>
  <si>
    <t>Data Science</t>
  </si>
  <si>
    <t>Data Analytics</t>
  </si>
  <si>
    <t>Data Scientist</t>
  </si>
  <si>
    <t>Average</t>
  </si>
  <si>
    <t>Robert Davis</t>
  </si>
  <si>
    <t>Software Development</t>
  </si>
  <si>
    <t>E-commerce Website</t>
  </si>
  <si>
    <t>Software Engineer</t>
  </si>
  <si>
    <t>Emily Wilson</t>
  </si>
  <si>
    <t>Web Development</t>
  </si>
  <si>
    <t>Full-Stack Web App</t>
  </si>
  <si>
    <t>Web Developer</t>
  </si>
  <si>
    <t>Michael Brown</t>
  </si>
  <si>
    <t>Cybersecurity</t>
  </si>
  <si>
    <t>Network Security</t>
  </si>
  <si>
    <t>Information Security Analyst</t>
  </si>
  <si>
    <t>Laura Lee</t>
  </si>
  <si>
    <t>Machine Learning</t>
  </si>
  <si>
    <t>Image Recognition</t>
  </si>
  <si>
    <t>Machine Learning Engineer</t>
  </si>
  <si>
    <t>William Johnson</t>
  </si>
  <si>
    <t>Database Management</t>
  </si>
  <si>
    <t>SQL Query Optimization</t>
  </si>
  <si>
    <t>Database Administrator</t>
  </si>
  <si>
    <t>Sarah Miller</t>
  </si>
  <si>
    <t>Cloud Computing</t>
  </si>
  <si>
    <t>AWS Deployment</t>
  </si>
  <si>
    <t>Cloud Solutions Architect</t>
  </si>
  <si>
    <t>James Wilson</t>
  </si>
  <si>
    <t>Mobile App Development</t>
  </si>
  <si>
    <t>Android App</t>
  </si>
  <si>
    <t>Mobile App Developer</t>
  </si>
  <si>
    <t>Olivia Clark</t>
  </si>
  <si>
    <t>Computer Graphics</t>
  </si>
  <si>
    <t>3D Rendering</t>
  </si>
  <si>
    <t>Graphics Programmer</t>
  </si>
  <si>
    <t>Andrew Hall</t>
  </si>
  <si>
    <t>Natural Language Processing</t>
  </si>
  <si>
    <t>NLP Research Scientist</t>
  </si>
  <si>
    <t>David Jones</t>
  </si>
  <si>
    <t>Elizabeth Williams</t>
  </si>
  <si>
    <t>iOS App</t>
  </si>
  <si>
    <t>Charles Miller</t>
  </si>
  <si>
    <t>Game Development</t>
  </si>
  <si>
    <t>Game Developer</t>
  </si>
  <si>
    <t>Susan Davis</t>
  </si>
  <si>
    <t>Software Engineering</t>
  </si>
  <si>
    <t>John Brown</t>
  </si>
  <si>
    <t>Jessica Jones</t>
  </si>
  <si>
    <t>GCP Deployment</t>
  </si>
  <si>
    <t>Peter Parker</t>
  </si>
  <si>
    <t>Social Media Platform</t>
  </si>
  <si>
    <t>Mary Jane Watson</t>
  </si>
  <si>
    <t>Harry Osborn</t>
  </si>
  <si>
    <t>iOS Game</t>
  </si>
  <si>
    <t>Gwen Stacy</t>
  </si>
  <si>
    <t>3D Animation</t>
  </si>
  <si>
    <t>Eddie Brock</t>
  </si>
  <si>
    <t>Michelle Williams</t>
  </si>
  <si>
    <t>Flash Thompson</t>
  </si>
  <si>
    <t>Liz Allan</t>
  </si>
  <si>
    <t>Jason Macendale</t>
  </si>
  <si>
    <t>Fred Myers</t>
  </si>
  <si>
    <t>Betty Brant</t>
  </si>
  <si>
    <t>Ned Leeds</t>
  </si>
  <si>
    <t>Android Game</t>
  </si>
  <si>
    <t>Silver Sable</t>
  </si>
  <si>
    <t>3D Modeling</t>
  </si>
  <si>
    <t>Black Cat</t>
  </si>
  <si>
    <t>Venom</t>
  </si>
  <si>
    <t>Carnage</t>
  </si>
  <si>
    <t>Lizard</t>
  </si>
  <si>
    <t>Electro</t>
  </si>
  <si>
    <t>Sandman</t>
  </si>
  <si>
    <t>Mysterio</t>
  </si>
  <si>
    <t>Rhino</t>
  </si>
  <si>
    <t>Scorpion</t>
  </si>
  <si>
    <t>Vulture</t>
  </si>
  <si>
    <t>Shocker</t>
  </si>
  <si>
    <t>Kraven the Hunter</t>
  </si>
  <si>
    <t>Green Goblin</t>
  </si>
  <si>
    <t>Doctor Octopus</t>
  </si>
  <si>
    <t>Morbius</t>
  </si>
  <si>
    <t>Hydro-Man</t>
  </si>
  <si>
    <t>Kingpin</t>
  </si>
  <si>
    <t>Taskmaster</t>
  </si>
  <si>
    <t>MODOK</t>
  </si>
  <si>
    <t>AIM</t>
  </si>
  <si>
    <t>Hydra</t>
  </si>
  <si>
    <t>Agent Coulson</t>
  </si>
  <si>
    <t>Agent Hill</t>
  </si>
  <si>
    <t>Agent Melinda May</t>
  </si>
  <si>
    <t>Agent Daisy Johnson</t>
  </si>
  <si>
    <t>Agent Simmons</t>
  </si>
  <si>
    <t>Agent Fitz</t>
  </si>
  <si>
    <t>Agent Mack</t>
  </si>
  <si>
    <t>Agent Bobbi Morse</t>
  </si>
  <si>
    <t>Agent Lance Hunter</t>
  </si>
  <si>
    <t>Oliver Davis</t>
  </si>
  <si>
    <t>Firewall Management</t>
  </si>
  <si>
    <t>Security Analyst</t>
  </si>
  <si>
    <t>Ava Miller</t>
  </si>
  <si>
    <t>Deep Learning Models</t>
  </si>
  <si>
    <t>Liam Wilson</t>
  </si>
  <si>
    <t>Data Warehouse Design</t>
  </si>
  <si>
    <t>Sophia Johnson</t>
  </si>
  <si>
    <t>Embedded Systems</t>
  </si>
  <si>
    <t>Embedded Software Engineer</t>
  </si>
  <si>
    <t>Front-End Development</t>
  </si>
  <si>
    <t>Emily Lee</t>
  </si>
  <si>
    <t>Statistical Analysis</t>
  </si>
  <si>
    <t>Data Analyst</t>
  </si>
  <si>
    <t>William Davis</t>
  </si>
  <si>
    <t>Robotics</t>
  </si>
  <si>
    <t>Robotics Engineer</t>
  </si>
  <si>
    <t>Olivia Brown</t>
  </si>
  <si>
    <t>Mobile Game Development</t>
  </si>
  <si>
    <t>Penetration Testing</t>
  </si>
  <si>
    <t>Ethical Hacker</t>
  </si>
  <si>
    <t>Computer Vision</t>
  </si>
  <si>
    <t>Object Detection</t>
  </si>
  <si>
    <t>Computer Vision Engineer</t>
  </si>
  <si>
    <t>DevOps</t>
  </si>
  <si>
    <t>DevOps Engineer</t>
  </si>
  <si>
    <t>Bioinformatics</t>
  </si>
  <si>
    <t>Genomic Data Analysis</t>
  </si>
  <si>
    <t>Bioinformatician</t>
  </si>
  <si>
    <t>IoT (Internet of Things)</t>
  </si>
  <si>
    <t>Smart Home Automation</t>
  </si>
  <si>
    <t>IoT Developer</t>
  </si>
  <si>
    <t>NLP Engineer</t>
  </si>
  <si>
    <t>Data Mining</t>
  </si>
  <si>
    <t>Market Analysis</t>
  </si>
  <si>
    <t>Cloud Migration Specialist</t>
  </si>
  <si>
    <t>Human-Computer Interaction</t>
  </si>
  <si>
    <t>Usability Testing</t>
  </si>
  <si>
    <t>UX Designer</t>
  </si>
  <si>
    <t>Biomedical Computing</t>
  </si>
  <si>
    <t>Medical Imaging Analysis</t>
  </si>
  <si>
    <t>Healthcare IT Specialist</t>
  </si>
  <si>
    <t>Quantum Computing</t>
  </si>
  <si>
    <t>Quantum Algorithm Development</t>
  </si>
  <si>
    <t>Quantum Computing Researcher</t>
  </si>
  <si>
    <t>Virtual Reality Development</t>
  </si>
  <si>
    <t>VR Developer</t>
  </si>
  <si>
    <t>Blockchain Technology</t>
  </si>
  <si>
    <t>Smart Contracts Developer</t>
  </si>
  <si>
    <t>Blockchain Engineer</t>
  </si>
  <si>
    <t>Information Retrieval</t>
  </si>
  <si>
    <t>Search Engine Optimization</t>
  </si>
  <si>
    <t>SEO Specialist</t>
  </si>
  <si>
    <t>Data Privacy</t>
  </si>
  <si>
    <t>Privacy Compliance Officer</t>
  </si>
  <si>
    <t>Data Privacy Specialist</t>
  </si>
  <si>
    <t>Geographic Information Systems</t>
  </si>
  <si>
    <t>GIS Mapping</t>
  </si>
  <si>
    <t>Geospatial Analyst</t>
  </si>
  <si>
    <t>Distributed Systems</t>
  </si>
  <si>
    <t>Distributed Systems Architect</t>
  </si>
  <si>
    <t>Distributed Systems Engineer</t>
  </si>
  <si>
    <t>Digital Forensics</t>
  </si>
  <si>
    <t>Computer Forensic Analyst</t>
  </si>
  <si>
    <t>Digital Forensics Specialist</t>
  </si>
  <si>
    <t>Protein Structure Prediction</t>
  </si>
  <si>
    <t>User Experience Researcher</t>
  </si>
  <si>
    <t>Healthcare Data Analyst</t>
  </si>
  <si>
    <t>Grace Smith</t>
  </si>
  <si>
    <t>Neural Network Development</t>
  </si>
  <si>
    <t>AI Researcher</t>
  </si>
  <si>
    <t>Michael Johnson</t>
  </si>
  <si>
    <t>Big Data Analytics</t>
  </si>
  <si>
    <t>Olivia Davis</t>
  </si>
  <si>
    <t>William Brown</t>
  </si>
  <si>
    <t>David Lee</t>
  </si>
  <si>
    <t>Image Classification</t>
  </si>
  <si>
    <t>Sophia Miller</t>
  </si>
  <si>
    <t>SQL Database Design</t>
  </si>
  <si>
    <t>Cloud Infrastructure Management</t>
  </si>
  <si>
    <t>Emma Clark</t>
  </si>
  <si>
    <t>iOS App Development</t>
  </si>
  <si>
    <t>Matthew Hall</t>
  </si>
  <si>
    <t>William Smith</t>
  </si>
  <si>
    <t>Android App Development</t>
  </si>
  <si>
    <t>Emily Johnson</t>
  </si>
  <si>
    <t>David Brown</t>
  </si>
  <si>
    <t>Enterprise Software Development</t>
  </si>
  <si>
    <t>Sophia Wilson</t>
  </si>
  <si>
    <t>James Miller</t>
  </si>
  <si>
    <t>Emma Johnson</t>
  </si>
  <si>
    <t>Matthew Lee</t>
  </si>
  <si>
    <t>Isabella Brown</t>
  </si>
  <si>
    <t>Web Application Development</t>
  </si>
  <si>
    <t>Elijah Smith</t>
  </si>
  <si>
    <t>Security Auditing</t>
  </si>
  <si>
    <t>SQL Database Administration</t>
  </si>
  <si>
    <t>Cloud Solution Architecture</t>
  </si>
  <si>
    <t>Cross-Platform App Development</t>
  </si>
  <si>
    <t>Reinforcement Learning</t>
  </si>
  <si>
    <t>Charlotte Davis</t>
  </si>
  <si>
    <t>Joseph Miller</t>
  </si>
  <si>
    <t>Emma Wilson</t>
  </si>
  <si>
    <t>Oliver Brown</t>
  </si>
  <si>
    <t>Elijah Davis</t>
  </si>
  <si>
    <t>Grand Total</t>
  </si>
  <si>
    <t>Average of GPA</t>
  </si>
  <si>
    <t>Count of Student ID</t>
  </si>
  <si>
    <t>Average_GPA</t>
  </si>
  <si>
    <t>Total_Population</t>
  </si>
  <si>
    <t>Future_Career</t>
  </si>
  <si>
    <t>Interested_Domain</t>
  </si>
  <si>
    <t>Student_ID</t>
  </si>
  <si>
    <t>Percentage_Strong_Python</t>
  </si>
  <si>
    <t>Row Labels</t>
  </si>
  <si>
    <t>Grade</t>
  </si>
  <si>
    <t>Count of Grade</t>
  </si>
  <si>
    <t>A</t>
  </si>
  <si>
    <t>B</t>
  </si>
  <si>
    <t>Column Labels</t>
  </si>
  <si>
    <t>20-24</t>
  </si>
  <si>
    <t>25-29</t>
  </si>
  <si>
    <t>30-34</t>
  </si>
  <si>
    <t>35-39</t>
  </si>
  <si>
    <t>Student ID</t>
  </si>
  <si>
    <t>Count of Student_ID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</si>
</sst>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 fontId="16" fillId="0" borderId="0" xfId="0" applyNumberFormat="1" applyFont="1"/>
    <xf numFmtId="2" fontId="0" fillId="0" borderId="0" xfId="0" applyNumberFormat="1"/>
    <xf numFmtId="49" fontId="16" fillId="0" borderId="0" xfId="0" applyNumberFormat="1" applyFont="1"/>
    <xf numFmtId="49" fontId="0" fillId="0" borderId="0" xfId="0" applyNumberFormat="1"/>
    <xf numFmtId="164" fontId="16" fillId="0" borderId="0" xfId="0" applyNumberFormat="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6" fillId="0" borderId="0" xfId="0" applyFont="1"/>
    <xf numFmtId="9" fontId="0" fillId="0" borderId="0" xfId="0" applyNumberFormat="1"/>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eetMetadata" Target="metadata.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Python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Student ID</a:t>
            </a:r>
            <a:r>
              <a:rPr lang="en-US"/>
              <a:t> by Python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pivot_table!$A$2:$A$5</c:f>
              <c:strCache>
                <c:ptCount val="3"/>
                <c:pt idx="0">
                  <c:v>Average</c:v>
                </c:pt>
                <c:pt idx="1">
                  <c:v>Weak</c:v>
                </c:pt>
                <c:pt idx="2">
                  <c:v>Strong</c:v>
                </c:pt>
              </c:strCache>
            </c:strRef>
          </c:cat>
          <c:val>
            <c:numRef>
              <c:f>pivot_table!$B$2:$B$5</c:f>
              <c:numCache>
                <c:formatCode>General</c:formatCode>
                <c:ptCount val="3"/>
                <c:pt idx="0">
                  <c:v>46</c:v>
                </c:pt>
                <c:pt idx="1">
                  <c:v>64</c:v>
                </c:pt>
                <c:pt idx="2">
                  <c:v>70</c:v>
                </c:pt>
              </c:numCache>
            </c:numRef>
          </c:val>
          <c:extLst>
            <c:ext xmlns:c16="http://schemas.microsoft.com/office/drawing/2014/chart" uri="{C3380CC4-5D6E-409C-BE32-E72D297353CC}">
              <c16:uniqueId val="{00000000-F301-4E58-B29B-D5DD75794BA2}"/>
            </c:ext>
          </c:extLst>
        </c:ser>
        <c:dLbls>
          <c:dLblPos val="outEnd"/>
          <c:showLegendKey val="0"/>
          <c:showVal val="1"/>
          <c:showCatName val="0"/>
          <c:showSerName val="0"/>
          <c:showPercent val="0"/>
          <c:showBubbleSize val="0"/>
        </c:dLbls>
        <c:gapWidth val="219"/>
        <c:overlap val="-27"/>
        <c:axId val="939408688"/>
        <c:axId val="939406768"/>
      </c:barChart>
      <c:catAx>
        <c:axId val="93940868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Python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06768"/>
        <c:crosses val="autoZero"/>
        <c:auto val="1"/>
        <c:lblAlgn val="ctr"/>
        <c:lblOffset val="100"/>
        <c:noMultiLvlLbl val="0"/>
      </c:catAx>
      <c:valAx>
        <c:axId val="939406768"/>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Student ID Count</a:t>
                </a:r>
              </a:p>
            </c:rich>
          </c:tx>
          <c:layout>
            <c:manualLayout>
              <c:xMode val="edge"/>
              <c:yMode val="edge"/>
              <c:x val="4.2121695215815644E-2"/>
              <c:y val="0.2978366440650338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93940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SQL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 of Student ID by SQL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pivot_table!$A$19:$A$22</c:f>
              <c:strCache>
                <c:ptCount val="3"/>
                <c:pt idx="0">
                  <c:v>Weak</c:v>
                </c:pt>
                <c:pt idx="1">
                  <c:v>Average</c:v>
                </c:pt>
                <c:pt idx="2">
                  <c:v>Strong</c:v>
                </c:pt>
              </c:strCache>
            </c:strRef>
          </c:cat>
          <c:val>
            <c:numRef>
              <c:f>pivot_table!$B$19:$B$22</c:f>
              <c:numCache>
                <c:formatCode>General</c:formatCode>
                <c:ptCount val="3"/>
                <c:pt idx="0">
                  <c:v>41</c:v>
                </c:pt>
                <c:pt idx="1">
                  <c:v>60</c:v>
                </c:pt>
                <c:pt idx="2">
                  <c:v>79</c:v>
                </c:pt>
              </c:numCache>
            </c:numRef>
          </c:val>
          <c:extLst>
            <c:ext xmlns:c16="http://schemas.microsoft.com/office/drawing/2014/chart" uri="{C3380CC4-5D6E-409C-BE32-E72D297353CC}">
              <c16:uniqueId val="{00000000-43BC-49F8-ADF8-52E5CE8B106F}"/>
            </c:ext>
          </c:extLst>
        </c:ser>
        <c:dLbls>
          <c:dLblPos val="outEnd"/>
          <c:showLegendKey val="0"/>
          <c:showVal val="1"/>
          <c:showCatName val="0"/>
          <c:showSerName val="0"/>
          <c:showPercent val="0"/>
          <c:showBubbleSize val="0"/>
        </c:dLbls>
        <c:gapWidth val="219"/>
        <c:overlap val="-27"/>
        <c:axId val="939408208"/>
        <c:axId val="939402928"/>
      </c:barChart>
      <c:catAx>
        <c:axId val="9394082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SQL</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02928"/>
        <c:crosses val="autoZero"/>
        <c:auto val="1"/>
        <c:lblAlgn val="ctr"/>
        <c:lblOffset val="100"/>
        <c:noMultiLvlLbl val="0"/>
      </c:catAx>
      <c:valAx>
        <c:axId val="939402928"/>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Student</a:t>
                </a:r>
                <a:r>
                  <a:rPr lang="en-US" b="1" baseline="0"/>
                  <a:t> ID Count</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3940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Java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 of Student ID by Java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pivot_table!$A$28:$A$31</c:f>
              <c:strCache>
                <c:ptCount val="3"/>
                <c:pt idx="0">
                  <c:v>Average</c:v>
                </c:pt>
                <c:pt idx="1">
                  <c:v>Weak</c:v>
                </c:pt>
                <c:pt idx="2">
                  <c:v>Strong</c:v>
                </c:pt>
              </c:strCache>
            </c:strRef>
          </c:cat>
          <c:val>
            <c:numRef>
              <c:f>pivot_table!$B$28:$B$31</c:f>
              <c:numCache>
                <c:formatCode>General</c:formatCode>
                <c:ptCount val="3"/>
                <c:pt idx="0">
                  <c:v>47</c:v>
                </c:pt>
                <c:pt idx="1">
                  <c:v>64</c:v>
                </c:pt>
                <c:pt idx="2">
                  <c:v>69</c:v>
                </c:pt>
              </c:numCache>
            </c:numRef>
          </c:val>
          <c:extLst>
            <c:ext xmlns:c16="http://schemas.microsoft.com/office/drawing/2014/chart" uri="{C3380CC4-5D6E-409C-BE32-E72D297353CC}">
              <c16:uniqueId val="{00000000-0171-473E-B5D9-F171382E093E}"/>
            </c:ext>
          </c:extLst>
        </c:ser>
        <c:dLbls>
          <c:dLblPos val="outEnd"/>
          <c:showLegendKey val="0"/>
          <c:showVal val="1"/>
          <c:showCatName val="0"/>
          <c:showSerName val="0"/>
          <c:showPercent val="0"/>
          <c:showBubbleSize val="0"/>
        </c:dLbls>
        <c:gapWidth val="219"/>
        <c:overlap val="-27"/>
        <c:axId val="805938784"/>
        <c:axId val="805939264"/>
      </c:barChart>
      <c:catAx>
        <c:axId val="8059387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Java</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39264"/>
        <c:crosses val="autoZero"/>
        <c:auto val="1"/>
        <c:lblAlgn val="ctr"/>
        <c:lblOffset val="100"/>
        <c:noMultiLvlLbl val="0"/>
      </c:catAx>
      <c:valAx>
        <c:axId val="805939264"/>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Student ID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0593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Age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GPA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pivot_table!$A$92:$A$101</c:f>
              <c:strCache>
                <c:ptCount val="9"/>
                <c:pt idx="0">
                  <c:v>20</c:v>
                </c:pt>
                <c:pt idx="1">
                  <c:v>21</c:v>
                </c:pt>
                <c:pt idx="2">
                  <c:v>22</c:v>
                </c:pt>
                <c:pt idx="3">
                  <c:v>23</c:v>
                </c:pt>
                <c:pt idx="4">
                  <c:v>29</c:v>
                </c:pt>
                <c:pt idx="5">
                  <c:v>31</c:v>
                </c:pt>
                <c:pt idx="6">
                  <c:v>33</c:v>
                </c:pt>
                <c:pt idx="7">
                  <c:v>35</c:v>
                </c:pt>
                <c:pt idx="8">
                  <c:v>37</c:v>
                </c:pt>
              </c:strCache>
            </c:strRef>
          </c:cat>
          <c:val>
            <c:numRef>
              <c:f>pivot_table!$B$92:$B$101</c:f>
              <c:numCache>
                <c:formatCode>0.0</c:formatCode>
                <c:ptCount val="9"/>
                <c:pt idx="0">
                  <c:v>3.5088235294117633</c:v>
                </c:pt>
                <c:pt idx="1">
                  <c:v>3.6458333333333339</c:v>
                </c:pt>
                <c:pt idx="2">
                  <c:v>3.6433962264150939</c:v>
                </c:pt>
                <c:pt idx="3">
                  <c:v>3.6055555555555543</c:v>
                </c:pt>
                <c:pt idx="4">
                  <c:v>3.6500000000000004</c:v>
                </c:pt>
                <c:pt idx="5">
                  <c:v>3.5</c:v>
                </c:pt>
                <c:pt idx="6">
                  <c:v>3.7</c:v>
                </c:pt>
                <c:pt idx="7">
                  <c:v>3.9</c:v>
                </c:pt>
                <c:pt idx="8">
                  <c:v>3.75</c:v>
                </c:pt>
              </c:numCache>
            </c:numRef>
          </c:val>
          <c:extLst>
            <c:ext xmlns:c16="http://schemas.microsoft.com/office/drawing/2014/chart" uri="{C3380CC4-5D6E-409C-BE32-E72D297353CC}">
              <c16:uniqueId val="{00000000-167E-480D-AF0E-AAE5EEF02771}"/>
            </c:ext>
          </c:extLst>
        </c:ser>
        <c:dLbls>
          <c:dLblPos val="outEnd"/>
          <c:showLegendKey val="0"/>
          <c:showVal val="1"/>
          <c:showCatName val="0"/>
          <c:showSerName val="0"/>
          <c:showPercent val="0"/>
          <c:showBubbleSize val="0"/>
        </c:dLbls>
        <c:gapWidth val="219"/>
        <c:overlap val="-27"/>
        <c:axId val="973992656"/>
        <c:axId val="973989776"/>
      </c:barChart>
      <c:catAx>
        <c:axId val="97399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89776"/>
        <c:crosses val="autoZero"/>
        <c:auto val="1"/>
        <c:lblAlgn val="ctr"/>
        <c:lblOffset val="100"/>
        <c:noMultiLvlLbl val="0"/>
      </c:catAx>
      <c:valAx>
        <c:axId val="97398977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GPA</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97399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[cs_students.xlsx]pivot_table!Student Gender Composition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Gender Composition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9423655120560623"/>
          <c:y val="0.16369509355609663"/>
          <c:w val="0.51648619004771934"/>
          <c:h val="0.75229990857764606"/>
        </c:manualLayout>
      </c:layout>
      <c:pieChart>
        <c:varyColors val="1"/>
        <c:ser>
          <c:idx val="0"/>
          <c:order val="0"/>
          <c:tx>
            <c:strRef>
              <c:f>pivot_table!$B$105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4F-4C94-9BE2-86F99296326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C4F-4C94-9BE2-86F9929632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pivot_table!$A$106:$A$108</c:f>
              <c:strCache>
                <c:ptCount val="2"/>
                <c:pt idx="0">
                  <c:v>Female</c:v>
                </c:pt>
                <c:pt idx="1">
                  <c:v>Male</c:v>
                </c:pt>
              </c:strCache>
            </c:strRef>
          </c:cat>
          <c:val>
            <c:numRef>
              <c:f>pivot_table!$B$106:$B$108</c:f>
              <c:numCache>
                <c:formatCode>General</c:formatCode>
                <c:ptCount val="2"/>
                <c:pt idx="0">
                  <c:v>78</c:v>
                </c:pt>
                <c:pt idx="1">
                  <c:v>102</c:v>
                </c:pt>
              </c:numCache>
            </c:numRef>
          </c:val>
          <c:extLst>
            <c:ext xmlns:c16="http://schemas.microsoft.com/office/drawing/2014/chart" uri="{C3380CC4-5D6E-409C-BE32-E72D297353CC}">
              <c16:uniqueId val="{00000000-6083-4A76-BF60-619422360C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Career Interest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Student Count by Career Interest (Top 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pivot_table!$A$175:$A$181</c:f>
              <c:strCache>
                <c:ptCount val="6"/>
                <c:pt idx="0">
                  <c:v>Web Developer</c:v>
                </c:pt>
                <c:pt idx="1">
                  <c:v>Mobile App Developer</c:v>
                </c:pt>
                <c:pt idx="2">
                  <c:v>Information Security Analyst</c:v>
                </c:pt>
                <c:pt idx="3">
                  <c:v>Database Administrator</c:v>
                </c:pt>
                <c:pt idx="4">
                  <c:v>Cloud Solutions Architect</c:v>
                </c:pt>
                <c:pt idx="5">
                  <c:v>Software Engineer</c:v>
                </c:pt>
              </c:strCache>
            </c:strRef>
          </c:cat>
          <c:val>
            <c:numRef>
              <c:f>pivot_table!$B$175:$B$181</c:f>
              <c:numCache>
                <c:formatCode>General</c:formatCode>
                <c:ptCount val="6"/>
                <c:pt idx="0">
                  <c:v>19</c:v>
                </c:pt>
                <c:pt idx="1">
                  <c:v>17</c:v>
                </c:pt>
                <c:pt idx="2">
                  <c:v>17</c:v>
                </c:pt>
                <c:pt idx="3">
                  <c:v>16</c:v>
                </c:pt>
                <c:pt idx="4">
                  <c:v>16</c:v>
                </c:pt>
                <c:pt idx="5">
                  <c:v>14</c:v>
                </c:pt>
              </c:numCache>
            </c:numRef>
          </c:val>
          <c:extLst>
            <c:ext xmlns:c16="http://schemas.microsoft.com/office/drawing/2014/chart" uri="{C3380CC4-5D6E-409C-BE32-E72D297353CC}">
              <c16:uniqueId val="{00000000-3428-4F31-90FD-C706201FF673}"/>
            </c:ext>
          </c:extLst>
        </c:ser>
        <c:dLbls>
          <c:dLblPos val="outEnd"/>
          <c:showLegendKey val="0"/>
          <c:showVal val="1"/>
          <c:showCatName val="0"/>
          <c:showSerName val="0"/>
          <c:showPercent val="0"/>
          <c:showBubbleSize val="0"/>
        </c:dLbls>
        <c:gapWidth val="182"/>
        <c:axId val="625595263"/>
        <c:axId val="625596223"/>
      </c:barChart>
      <c:catAx>
        <c:axId val="625595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Future Career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96223"/>
        <c:crosses val="autoZero"/>
        <c:auto val="1"/>
        <c:lblAlgn val="ctr"/>
        <c:lblOffset val="100"/>
        <c:noMultiLvlLbl val="0"/>
      </c:catAx>
      <c:valAx>
        <c:axId val="62559622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Student Count</a:t>
                </a:r>
                <a:endParaRPr lang="en-US" b="1"/>
              </a:p>
            </c:rich>
          </c:tx>
          <c:layout>
            <c:manualLayout>
              <c:xMode val="edge"/>
              <c:yMode val="edge"/>
              <c:x val="0.65389545056867893"/>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2559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Interested Domain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GPA by Interested Domain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pivot_table!$A$49:$A$57</c:f>
              <c:strCache>
                <c:ptCount val="8"/>
                <c:pt idx="0">
                  <c:v>Natural Language Processing</c:v>
                </c:pt>
                <c:pt idx="1">
                  <c:v>Distributed Systems</c:v>
                </c:pt>
                <c:pt idx="2">
                  <c:v>Software Engineering</c:v>
                </c:pt>
                <c:pt idx="3">
                  <c:v>Quantum Computing</c:v>
                </c:pt>
                <c:pt idx="4">
                  <c:v>Data Privacy</c:v>
                </c:pt>
                <c:pt idx="5">
                  <c:v>Machine Learning</c:v>
                </c:pt>
                <c:pt idx="6">
                  <c:v>Network Security</c:v>
                </c:pt>
                <c:pt idx="7">
                  <c:v>Bioinformatics</c:v>
                </c:pt>
              </c:strCache>
            </c:strRef>
          </c:cat>
          <c:val>
            <c:numRef>
              <c:f>pivot_table!$B$49:$B$57</c:f>
              <c:numCache>
                <c:formatCode>0.0</c:formatCode>
                <c:ptCount val="8"/>
                <c:pt idx="0">
                  <c:v>3.9</c:v>
                </c:pt>
                <c:pt idx="1">
                  <c:v>3.9</c:v>
                </c:pt>
                <c:pt idx="2">
                  <c:v>3.8</c:v>
                </c:pt>
                <c:pt idx="3">
                  <c:v>3.8</c:v>
                </c:pt>
                <c:pt idx="4">
                  <c:v>3.8</c:v>
                </c:pt>
                <c:pt idx="5">
                  <c:v>3.7461538461538457</c:v>
                </c:pt>
                <c:pt idx="6">
                  <c:v>3.7</c:v>
                </c:pt>
                <c:pt idx="7">
                  <c:v>3.7</c:v>
                </c:pt>
              </c:numCache>
            </c:numRef>
          </c:val>
          <c:extLst>
            <c:ext xmlns:c16="http://schemas.microsoft.com/office/drawing/2014/chart" uri="{C3380CC4-5D6E-409C-BE32-E72D297353CC}">
              <c16:uniqueId val="{00000000-3C1D-4F3D-9CEB-1E068DAB6405}"/>
            </c:ext>
          </c:extLst>
        </c:ser>
        <c:dLbls>
          <c:dLblPos val="outEnd"/>
          <c:showLegendKey val="0"/>
          <c:showVal val="1"/>
          <c:showCatName val="0"/>
          <c:showSerName val="0"/>
          <c:showPercent val="0"/>
          <c:showBubbleSize val="0"/>
        </c:dLbls>
        <c:gapWidth val="182"/>
        <c:axId val="1857333631"/>
        <c:axId val="1857349951"/>
      </c:barChart>
      <c:catAx>
        <c:axId val="18573336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Interested Domain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49951"/>
        <c:crosses val="autoZero"/>
        <c:auto val="1"/>
        <c:lblAlgn val="ctr"/>
        <c:lblOffset val="100"/>
        <c:noMultiLvlLbl val="0"/>
      </c:catAx>
      <c:valAx>
        <c:axId val="185734995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GPA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185733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Student Grades by Python Skill Level</a:t>
            </a:r>
          </a:p>
        </c:rich>
      </c:tx>
      <c:layout>
        <c:manualLayout>
          <c:xMode val="edge"/>
          <c:yMode val="edge"/>
          <c:x val="0.14433447077997344"/>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78535468946341E-2"/>
          <c:y val="0.17763409961685825"/>
          <c:w val="0.89597912643459532"/>
          <c:h val="0.5297338371496666"/>
        </c:manualLayout>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Sheet2!$A$2:$A$10</c:f>
              <c:multiLvlStrCache>
                <c:ptCount val="6"/>
                <c:lvl>
                  <c:pt idx="0">
                    <c:v>Average</c:v>
                  </c:pt>
                  <c:pt idx="1">
                    <c:v>Weak</c:v>
                  </c:pt>
                  <c:pt idx="2">
                    <c:v>Strong</c:v>
                  </c:pt>
                  <c:pt idx="3">
                    <c:v>Weak</c:v>
                  </c:pt>
                  <c:pt idx="4">
                    <c:v>Strong</c:v>
                  </c:pt>
                  <c:pt idx="5">
                    <c:v>Average</c:v>
                  </c:pt>
                </c:lvl>
                <c:lvl>
                  <c:pt idx="0">
                    <c:v>A</c:v>
                  </c:pt>
                  <c:pt idx="3">
                    <c:v>B</c:v>
                  </c:pt>
                </c:lvl>
              </c:multiLvlStrCache>
            </c:multiLvlStrRef>
          </c:cat>
          <c:val>
            <c:numRef>
              <c:f>Sheet2!$B$2:$B$10</c:f>
              <c:numCache>
                <c:formatCode>General</c:formatCode>
                <c:ptCount val="6"/>
                <c:pt idx="0">
                  <c:v>29</c:v>
                </c:pt>
                <c:pt idx="1">
                  <c:v>58</c:v>
                </c:pt>
                <c:pt idx="2">
                  <c:v>63</c:v>
                </c:pt>
                <c:pt idx="3">
                  <c:v>6</c:v>
                </c:pt>
                <c:pt idx="4">
                  <c:v>7</c:v>
                </c:pt>
                <c:pt idx="5">
                  <c:v>17</c:v>
                </c:pt>
              </c:numCache>
            </c:numRef>
          </c:val>
          <c:extLst>
            <c:ext xmlns:c16="http://schemas.microsoft.com/office/drawing/2014/chart" uri="{C3380CC4-5D6E-409C-BE32-E72D297353CC}">
              <c16:uniqueId val="{00000000-24E1-42C7-9986-500C56C51C80}"/>
            </c:ext>
          </c:extLst>
        </c:ser>
        <c:dLbls>
          <c:dLblPos val="outEnd"/>
          <c:showLegendKey val="0"/>
          <c:showVal val="1"/>
          <c:showCatName val="0"/>
          <c:showSerName val="0"/>
          <c:showPercent val="0"/>
          <c:showBubbleSize val="0"/>
        </c:dLbls>
        <c:gapWidth val="219"/>
        <c:overlap val="-27"/>
        <c:axId val="1816017343"/>
        <c:axId val="1816032223"/>
      </c:barChart>
      <c:catAx>
        <c:axId val="181601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Python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32223"/>
        <c:crosses val="autoZero"/>
        <c:auto val="1"/>
        <c:lblAlgn val="ctr"/>
        <c:lblOffset val="100"/>
        <c:noMultiLvlLbl val="0"/>
      </c:catAx>
      <c:valAx>
        <c:axId val="18160322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81601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[cs_students.xlsx]Sheet2!PivotTable13</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Student Grades by SQL Skill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Sheet2!$A$22:$A$30</c:f>
              <c:multiLvlStrCache>
                <c:ptCount val="6"/>
                <c:lvl>
                  <c:pt idx="0">
                    <c:v>Weak</c:v>
                  </c:pt>
                  <c:pt idx="1">
                    <c:v>Average</c:v>
                  </c:pt>
                  <c:pt idx="2">
                    <c:v>Strong</c:v>
                  </c:pt>
                  <c:pt idx="3">
                    <c:v>Average</c:v>
                  </c:pt>
                  <c:pt idx="4">
                    <c:v>Strong</c:v>
                  </c:pt>
                  <c:pt idx="5">
                    <c:v>Weak</c:v>
                  </c:pt>
                </c:lvl>
                <c:lvl>
                  <c:pt idx="0">
                    <c:v>A</c:v>
                  </c:pt>
                  <c:pt idx="3">
                    <c:v>B</c:v>
                  </c:pt>
                </c:lvl>
              </c:multiLvlStrCache>
            </c:multiLvlStrRef>
          </c:cat>
          <c:val>
            <c:numRef>
              <c:f>Sheet2!$B$22:$B$30</c:f>
              <c:numCache>
                <c:formatCode>General</c:formatCode>
                <c:ptCount val="6"/>
                <c:pt idx="0">
                  <c:v>29</c:v>
                </c:pt>
                <c:pt idx="1">
                  <c:v>54</c:v>
                </c:pt>
                <c:pt idx="2">
                  <c:v>67</c:v>
                </c:pt>
                <c:pt idx="3">
                  <c:v>6</c:v>
                </c:pt>
                <c:pt idx="4">
                  <c:v>12</c:v>
                </c:pt>
                <c:pt idx="5">
                  <c:v>12</c:v>
                </c:pt>
              </c:numCache>
            </c:numRef>
          </c:val>
          <c:extLst>
            <c:ext xmlns:c16="http://schemas.microsoft.com/office/drawing/2014/chart" uri="{C3380CC4-5D6E-409C-BE32-E72D297353CC}">
              <c16:uniqueId val="{00000000-18D8-493F-A6D5-C77B37C29FF0}"/>
            </c:ext>
          </c:extLst>
        </c:ser>
        <c:dLbls>
          <c:dLblPos val="outEnd"/>
          <c:showLegendKey val="0"/>
          <c:showVal val="1"/>
          <c:showCatName val="0"/>
          <c:showSerName val="0"/>
          <c:showPercent val="0"/>
          <c:showBubbleSize val="0"/>
        </c:dLbls>
        <c:gapWidth val="219"/>
        <c:overlap val="-27"/>
        <c:axId val="1745864431"/>
        <c:axId val="1745868271"/>
      </c:barChart>
      <c:catAx>
        <c:axId val="174586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SQL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68271"/>
        <c:crosses val="autoZero"/>
        <c:auto val="1"/>
        <c:lblAlgn val="ctr"/>
        <c:lblOffset val="100"/>
        <c:noMultiLvlLbl val="0"/>
      </c:catAx>
      <c:valAx>
        <c:axId val="1745868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4586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Student Grades by Java Skill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Sheet2!$A$42:$A$50</c:f>
              <c:multiLvlStrCache>
                <c:ptCount val="6"/>
                <c:lvl>
                  <c:pt idx="0">
                    <c:v>Average</c:v>
                  </c:pt>
                  <c:pt idx="1">
                    <c:v>Weak</c:v>
                  </c:pt>
                  <c:pt idx="2">
                    <c:v>Strong</c:v>
                  </c:pt>
                  <c:pt idx="3">
                    <c:v>Average</c:v>
                  </c:pt>
                  <c:pt idx="4">
                    <c:v>Weak</c:v>
                  </c:pt>
                  <c:pt idx="5">
                    <c:v>Strong</c:v>
                  </c:pt>
                </c:lvl>
                <c:lvl>
                  <c:pt idx="0">
                    <c:v>A</c:v>
                  </c:pt>
                  <c:pt idx="3">
                    <c:v>B</c:v>
                  </c:pt>
                </c:lvl>
              </c:multiLvlStrCache>
            </c:multiLvlStrRef>
          </c:cat>
          <c:val>
            <c:numRef>
              <c:f>Sheet2!$B$42:$B$50</c:f>
              <c:numCache>
                <c:formatCode>General</c:formatCode>
                <c:ptCount val="6"/>
                <c:pt idx="0">
                  <c:v>45</c:v>
                </c:pt>
                <c:pt idx="1">
                  <c:v>51</c:v>
                </c:pt>
                <c:pt idx="2">
                  <c:v>54</c:v>
                </c:pt>
                <c:pt idx="3">
                  <c:v>2</c:v>
                </c:pt>
                <c:pt idx="4">
                  <c:v>13</c:v>
                </c:pt>
                <c:pt idx="5">
                  <c:v>15</c:v>
                </c:pt>
              </c:numCache>
            </c:numRef>
          </c:val>
          <c:extLst>
            <c:ext xmlns:c16="http://schemas.microsoft.com/office/drawing/2014/chart" uri="{C3380CC4-5D6E-409C-BE32-E72D297353CC}">
              <c16:uniqueId val="{00000000-8894-4388-A338-BBCC6864DE64}"/>
            </c:ext>
          </c:extLst>
        </c:ser>
        <c:dLbls>
          <c:dLblPos val="outEnd"/>
          <c:showLegendKey val="0"/>
          <c:showVal val="1"/>
          <c:showCatName val="0"/>
          <c:showSerName val="0"/>
          <c:showPercent val="0"/>
          <c:showBubbleSize val="0"/>
        </c:dLbls>
        <c:gapWidth val="219"/>
        <c:overlap val="-27"/>
        <c:axId val="1745860591"/>
        <c:axId val="1745871631"/>
      </c:barChart>
      <c:catAx>
        <c:axId val="174586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Java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71631"/>
        <c:crosses val="autoZero"/>
        <c:auto val="1"/>
        <c:lblAlgn val="ctr"/>
        <c:lblOffset val="100"/>
        <c:noMultiLvlLbl val="0"/>
      </c:catAx>
      <c:valAx>
        <c:axId val="17458716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4586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Sheet2!$B$59:$B$60</c:f>
              <c:strCache>
                <c:ptCount val="1"/>
                <c:pt idx="0">
                  <c: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Sheet2!$A$61:$A$65</c:f>
              <c:strCache>
                <c:ptCount val="4"/>
                <c:pt idx="0">
                  <c:v>20-24</c:v>
                </c:pt>
                <c:pt idx="1">
                  <c:v>25-29</c:v>
                </c:pt>
                <c:pt idx="2">
                  <c:v>30-34</c:v>
                </c:pt>
                <c:pt idx="3">
                  <c:v>35-39</c:v>
                </c:pt>
              </c:strCache>
            </c:strRef>
          </c:cat>
          <c:val>
            <c:numRef>
              <c:f>Sheet2!$B$61:$B$65</c:f>
              <c:numCache>
                <c:formatCode>General</c:formatCode>
                <c:ptCount val="4"/>
                <c:pt idx="0">
                  <c:v>141</c:v>
                </c:pt>
                <c:pt idx="1">
                  <c:v>2</c:v>
                </c:pt>
                <c:pt idx="2">
                  <c:v>3</c:v>
                </c:pt>
                <c:pt idx="3">
                  <c:v>4</c:v>
                </c:pt>
              </c:numCache>
            </c:numRef>
          </c:val>
          <c:extLst>
            <c:ext xmlns:c16="http://schemas.microsoft.com/office/drawing/2014/chart" uri="{C3380CC4-5D6E-409C-BE32-E72D297353CC}">
              <c16:uniqueId val="{00000000-8D15-4DC4-920F-45DFCC813A58}"/>
            </c:ext>
          </c:extLst>
        </c:ser>
        <c:ser>
          <c:idx val="1"/>
          <c:order val="1"/>
          <c:tx>
            <c:strRef>
              <c:f>Sheet2!$C$59:$C$60</c:f>
              <c:strCache>
                <c:ptCount val="1"/>
                <c:pt idx="0">
                  <c:v>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Sheet2!$A$61:$A$65</c:f>
              <c:strCache>
                <c:ptCount val="4"/>
                <c:pt idx="0">
                  <c:v>20-24</c:v>
                </c:pt>
                <c:pt idx="1">
                  <c:v>25-29</c:v>
                </c:pt>
                <c:pt idx="2">
                  <c:v>30-34</c:v>
                </c:pt>
                <c:pt idx="3">
                  <c:v>35-39</c:v>
                </c:pt>
              </c:strCache>
            </c:strRef>
          </c:cat>
          <c:val>
            <c:numRef>
              <c:f>Sheet2!$C$61:$C$65</c:f>
              <c:numCache>
                <c:formatCode>General</c:formatCode>
                <c:ptCount val="4"/>
                <c:pt idx="0">
                  <c:v>30</c:v>
                </c:pt>
              </c:numCache>
            </c:numRef>
          </c:val>
          <c:extLst>
            <c:ext xmlns:c16="http://schemas.microsoft.com/office/drawing/2014/chart" uri="{C3380CC4-5D6E-409C-BE32-E72D297353CC}">
              <c16:uniqueId val="{00000003-8D15-4DC4-920F-45DFCC813A58}"/>
            </c:ext>
          </c:extLst>
        </c:ser>
        <c:dLbls>
          <c:dLblPos val="outEnd"/>
          <c:showLegendKey val="0"/>
          <c:showVal val="1"/>
          <c:showCatName val="0"/>
          <c:showSerName val="0"/>
          <c:showPercent val="0"/>
          <c:showBubbleSize val="0"/>
        </c:dLbls>
        <c:gapWidth val="219"/>
        <c:overlap val="-27"/>
        <c:axId val="1745883151"/>
        <c:axId val="1745884111"/>
      </c:barChart>
      <c:catAx>
        <c:axId val="1745883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84111"/>
        <c:crosses val="autoZero"/>
        <c:auto val="1"/>
        <c:lblAlgn val="ctr"/>
        <c:lblOffset val="100"/>
        <c:noMultiLvlLbl val="0"/>
      </c:catAx>
      <c:valAx>
        <c:axId val="174588411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Grade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4588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Artificial Intelligence</c:v>
              </c:pt>
              <c:pt idx="1">
                <c:v>Cybersecurity</c:v>
              </c:pt>
              <c:pt idx="2">
                <c:v>Web Development</c:v>
              </c:pt>
              <c:pt idx="3">
                <c:v>Database Management</c:v>
              </c:pt>
              <c:pt idx="4">
                <c:v>Cloud Computing</c:v>
              </c:pt>
              <c:pt idx="5">
                <c:v>Computer Graphics</c:v>
              </c:pt>
              <c:pt idx="6">
                <c:v>Machine Learning</c:v>
              </c:pt>
              <c:pt idx="7">
                <c:v>Mobile App Development</c:v>
              </c:pt>
              <c:pt idx="8">
                <c:v>Data Science</c:v>
              </c:pt>
            </c:strLit>
          </c:cat>
          <c:val>
            <c:numLit>
              <c:formatCode>General</c:formatCode>
              <c:ptCount val="9"/>
              <c:pt idx="0">
                <c:v>17</c:v>
              </c:pt>
              <c:pt idx="1">
                <c:v>17</c:v>
              </c:pt>
              <c:pt idx="2">
                <c:v>16</c:v>
              </c:pt>
              <c:pt idx="3">
                <c:v>15</c:v>
              </c:pt>
              <c:pt idx="4">
                <c:v>15</c:v>
              </c:pt>
              <c:pt idx="5">
                <c:v>13</c:v>
              </c:pt>
              <c:pt idx="6">
                <c:v>11</c:v>
              </c:pt>
              <c:pt idx="7">
                <c:v>9</c:v>
              </c:pt>
              <c:pt idx="8">
                <c:v>7</c:v>
              </c:pt>
            </c:numLit>
          </c:val>
          <c:extLst>
            <c:ext xmlns:c16="http://schemas.microsoft.com/office/drawing/2014/chart" uri="{C3380CC4-5D6E-409C-BE32-E72D297353CC}">
              <c16:uniqueId val="{00000000-02E9-410A-90C3-8E113B499BAF}"/>
            </c:ext>
          </c:extLst>
        </c:ser>
        <c:ser>
          <c:idx val="1"/>
          <c:order val="1"/>
          <c:tx>
            <c:v>B</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Artificial Intelligence</c:v>
              </c:pt>
              <c:pt idx="1">
                <c:v>Cybersecurity</c:v>
              </c:pt>
              <c:pt idx="2">
                <c:v>Web Development</c:v>
              </c:pt>
              <c:pt idx="3">
                <c:v>Database Management</c:v>
              </c:pt>
              <c:pt idx="4">
                <c:v>Cloud Computing</c:v>
              </c:pt>
              <c:pt idx="5">
                <c:v>Computer Graphics</c:v>
              </c:pt>
              <c:pt idx="6">
                <c:v>Machine Learning</c:v>
              </c:pt>
              <c:pt idx="7">
                <c:v>Mobile App Development</c:v>
              </c:pt>
              <c:pt idx="8">
                <c:v>Data Science</c:v>
              </c:pt>
            </c:strLit>
          </c:cat>
          <c:val>
            <c:numLit>
              <c:formatCode>General</c:formatCode>
              <c:ptCount val="9"/>
              <c:pt idx="0">
                <c:v>2</c:v>
              </c:pt>
              <c:pt idx="1">
                <c:v>1</c:v>
              </c:pt>
              <c:pt idx="2">
                <c:v>3</c:v>
              </c:pt>
              <c:pt idx="3">
                <c:v>1</c:v>
              </c:pt>
              <c:pt idx="4">
                <c:v>1</c:v>
              </c:pt>
              <c:pt idx="5">
                <c:v>0</c:v>
              </c:pt>
              <c:pt idx="6">
                <c:v>2</c:v>
              </c:pt>
              <c:pt idx="7">
                <c:v>8</c:v>
              </c:pt>
              <c:pt idx="8">
                <c:v>6</c:v>
              </c:pt>
            </c:numLit>
          </c:val>
          <c:extLst>
            <c:ext xmlns:c16="http://schemas.microsoft.com/office/drawing/2014/chart" uri="{C3380CC4-5D6E-409C-BE32-E72D297353CC}">
              <c16:uniqueId val="{00000001-02E9-410A-90C3-8E113B499BAF}"/>
            </c:ext>
          </c:extLst>
        </c:ser>
        <c:dLbls>
          <c:dLblPos val="outEnd"/>
          <c:showLegendKey val="0"/>
          <c:showVal val="1"/>
          <c:showCatName val="0"/>
          <c:showSerName val="0"/>
          <c:showPercent val="0"/>
          <c:showBubbleSize val="0"/>
        </c:dLbls>
        <c:gapWidth val="182"/>
        <c:axId val="1671120607"/>
        <c:axId val="1671116287"/>
      </c:barChart>
      <c:catAx>
        <c:axId val="16711206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Interested</a:t>
                </a:r>
                <a:r>
                  <a:rPr lang="en-US" baseline="0"/>
                  <a:t> Domain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16287"/>
        <c:crosses val="autoZero"/>
        <c:auto val="1"/>
        <c:lblAlgn val="ctr"/>
        <c:lblOffset val="100"/>
        <c:noMultiLvlLbl val="0"/>
      </c:catAx>
      <c:valAx>
        <c:axId val="167111628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711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Web Developer</c:v>
              </c:pt>
              <c:pt idx="1">
                <c:v>Information Security Analyst</c:v>
              </c:pt>
              <c:pt idx="2">
                <c:v>Database Administrator</c:v>
              </c:pt>
              <c:pt idx="3">
                <c:v>Cloud Solutions Architect</c:v>
              </c:pt>
              <c:pt idx="4">
                <c:v>Software Engineer</c:v>
              </c:pt>
              <c:pt idx="5">
                <c:v>Mobile App Developer</c:v>
              </c:pt>
            </c:strLit>
          </c:cat>
          <c:val>
            <c:numLit>
              <c:formatCode>General</c:formatCode>
              <c:ptCount val="6"/>
              <c:pt idx="0">
                <c:v>16</c:v>
              </c:pt>
              <c:pt idx="1">
                <c:v>16</c:v>
              </c:pt>
              <c:pt idx="2">
                <c:v>15</c:v>
              </c:pt>
              <c:pt idx="3">
                <c:v>15</c:v>
              </c:pt>
              <c:pt idx="4">
                <c:v>13</c:v>
              </c:pt>
              <c:pt idx="5">
                <c:v>9</c:v>
              </c:pt>
            </c:numLit>
          </c:val>
          <c:extLst>
            <c:ext xmlns:c16="http://schemas.microsoft.com/office/drawing/2014/chart" uri="{C3380CC4-5D6E-409C-BE32-E72D297353CC}">
              <c16:uniqueId val="{00000000-B029-4CBC-9F06-F121E4A447C1}"/>
            </c:ext>
          </c:extLst>
        </c:ser>
        <c:ser>
          <c:idx val="1"/>
          <c:order val="1"/>
          <c:tx>
            <c:v>B</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Web Developer</c:v>
              </c:pt>
              <c:pt idx="1">
                <c:v>Information Security Analyst</c:v>
              </c:pt>
              <c:pt idx="2">
                <c:v>Database Administrator</c:v>
              </c:pt>
              <c:pt idx="3">
                <c:v>Cloud Solutions Architect</c:v>
              </c:pt>
              <c:pt idx="4">
                <c:v>Software Engineer</c:v>
              </c:pt>
              <c:pt idx="5">
                <c:v>Mobile App Developer</c:v>
              </c:pt>
            </c:strLit>
          </c:cat>
          <c:val>
            <c:numLit>
              <c:formatCode>General</c:formatCode>
              <c:ptCount val="6"/>
              <c:pt idx="0">
                <c:v>3</c:v>
              </c:pt>
              <c:pt idx="1">
                <c:v>1</c:v>
              </c:pt>
              <c:pt idx="2">
                <c:v>1</c:v>
              </c:pt>
              <c:pt idx="3">
                <c:v>1</c:v>
              </c:pt>
              <c:pt idx="4">
                <c:v>1</c:v>
              </c:pt>
              <c:pt idx="5">
                <c:v>8</c:v>
              </c:pt>
            </c:numLit>
          </c:val>
          <c:extLst>
            <c:ext xmlns:c16="http://schemas.microsoft.com/office/drawing/2014/chart" uri="{C3380CC4-5D6E-409C-BE32-E72D297353CC}">
              <c16:uniqueId val="{00000001-B029-4CBC-9F06-F121E4A447C1}"/>
            </c:ext>
          </c:extLst>
        </c:ser>
        <c:dLbls>
          <c:dLblPos val="outEnd"/>
          <c:showLegendKey val="0"/>
          <c:showVal val="1"/>
          <c:showCatName val="0"/>
          <c:showSerName val="0"/>
          <c:showPercent val="0"/>
          <c:showBubbleSize val="0"/>
        </c:dLbls>
        <c:gapWidth val="182"/>
        <c:axId val="1745881231"/>
        <c:axId val="1745878831"/>
      </c:barChart>
      <c:catAx>
        <c:axId val="1745881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Future</a:t>
                </a:r>
                <a:r>
                  <a:rPr lang="en-US" baseline="0"/>
                  <a:t> Career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78831"/>
        <c:crosses val="autoZero"/>
        <c:auto val="1"/>
        <c:lblAlgn val="ctr"/>
        <c:lblOffset val="100"/>
        <c:noMultiLvlLbl val="0"/>
      </c:catAx>
      <c:valAx>
        <c:axId val="17458788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74588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[cs_students.xlsx]Sheet2!PivotTable21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Gender Composition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5733639545056869"/>
          <c:y val="0.14796004666083407"/>
          <c:w val="0.4726979440069991"/>
          <c:h val="0.78782990667833186"/>
        </c:manualLayout>
      </c:layout>
      <c:pieChart>
        <c:varyColors val="1"/>
        <c:ser>
          <c:idx val="0"/>
          <c:order val="0"/>
          <c:tx>
            <c:strRef>
              <c:f>Sheet2!$B$124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CC-4AB4-B9D4-97F1606A96E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BCC-4AB4-B9D4-97F1606A96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Sheet2!$A$125:$A$127</c:f>
              <c:strCache>
                <c:ptCount val="2"/>
                <c:pt idx="0">
                  <c:v>Female</c:v>
                </c:pt>
                <c:pt idx="1">
                  <c:v>Male</c:v>
                </c:pt>
              </c:strCache>
            </c:strRef>
          </c:cat>
          <c:val>
            <c:numRef>
              <c:f>Sheet2!$B$125:$B$127</c:f>
              <c:numCache>
                <c:formatCode>General</c:formatCode>
                <c:ptCount val="2"/>
                <c:pt idx="0">
                  <c:v>78</c:v>
                </c:pt>
                <c:pt idx="1">
                  <c:v>102</c:v>
                </c:pt>
              </c:numCache>
            </c:numRef>
          </c:val>
          <c:extLst>
            <c:ext xmlns:c16="http://schemas.microsoft.com/office/drawing/2014/chart" uri="{C3380CC4-5D6E-409C-BE32-E72D297353CC}">
              <c16:uniqueId val="{00000004-2BCC-4AB4-B9D4-97F1606A96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Python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 of Student ID </a:t>
            </a:r>
            <a:r>
              <a:rPr lang="en-US"/>
              <a:t>by Python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pivot_table!$A$2:$A$5</c:f>
              <c:strCache>
                <c:ptCount val="3"/>
                <c:pt idx="0">
                  <c:v>Average</c:v>
                </c:pt>
                <c:pt idx="1">
                  <c:v>Weak</c:v>
                </c:pt>
                <c:pt idx="2">
                  <c:v>Strong</c:v>
                </c:pt>
              </c:strCache>
            </c:strRef>
          </c:cat>
          <c:val>
            <c:numRef>
              <c:f>pivot_table!$B$2:$B$5</c:f>
              <c:numCache>
                <c:formatCode>General</c:formatCode>
                <c:ptCount val="3"/>
                <c:pt idx="0">
                  <c:v>46</c:v>
                </c:pt>
                <c:pt idx="1">
                  <c:v>64</c:v>
                </c:pt>
                <c:pt idx="2">
                  <c:v>70</c:v>
                </c:pt>
              </c:numCache>
            </c:numRef>
          </c:val>
          <c:extLst>
            <c:ext xmlns:c16="http://schemas.microsoft.com/office/drawing/2014/chart" uri="{C3380CC4-5D6E-409C-BE32-E72D297353CC}">
              <c16:uniqueId val="{00000000-07E0-4799-9FA6-8CD1CE2141E1}"/>
            </c:ext>
          </c:extLst>
        </c:ser>
        <c:dLbls>
          <c:dLblPos val="outEnd"/>
          <c:showLegendKey val="0"/>
          <c:showVal val="1"/>
          <c:showCatName val="0"/>
          <c:showSerName val="0"/>
          <c:showPercent val="0"/>
          <c:showBubbleSize val="0"/>
        </c:dLbls>
        <c:gapWidth val="219"/>
        <c:overlap val="-27"/>
        <c:axId val="939408688"/>
        <c:axId val="939406768"/>
      </c:barChart>
      <c:catAx>
        <c:axId val="93940868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Python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06768"/>
        <c:crosses val="autoZero"/>
        <c:auto val="1"/>
        <c:lblAlgn val="ctr"/>
        <c:lblOffset val="100"/>
        <c:noMultiLvlLbl val="0"/>
      </c:catAx>
      <c:valAx>
        <c:axId val="939406768"/>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Student ID Count</a:t>
                </a:r>
              </a:p>
            </c:rich>
          </c:tx>
          <c:layout>
            <c:manualLayout>
              <c:xMode val="edge"/>
              <c:yMode val="edge"/>
              <c:x val="4.2121695215815644E-2"/>
              <c:y val="0.2978366440650338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3940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SQL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 of Student ID by SQL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16320159144233E-2"/>
          <c:y val="0.24130087038686943"/>
          <c:w val="0.90811793085276538"/>
          <c:h val="0.49694535864148293"/>
        </c:manualLayout>
      </c:layout>
      <c:barChart>
        <c:barDir val="col"/>
        <c:grouping val="clustered"/>
        <c:varyColors val="0"/>
        <c:ser>
          <c:idx val="0"/>
          <c:order val="0"/>
          <c:tx>
            <c:strRef>
              <c:f>pivot_table!$B$18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pivot_table!$A$19:$A$22</c:f>
              <c:strCache>
                <c:ptCount val="3"/>
                <c:pt idx="0">
                  <c:v>Weak</c:v>
                </c:pt>
                <c:pt idx="1">
                  <c:v>Average</c:v>
                </c:pt>
                <c:pt idx="2">
                  <c:v>Strong</c:v>
                </c:pt>
              </c:strCache>
            </c:strRef>
          </c:cat>
          <c:val>
            <c:numRef>
              <c:f>pivot_table!$B$19:$B$22</c:f>
              <c:numCache>
                <c:formatCode>General</c:formatCode>
                <c:ptCount val="3"/>
                <c:pt idx="0">
                  <c:v>41</c:v>
                </c:pt>
                <c:pt idx="1">
                  <c:v>60</c:v>
                </c:pt>
                <c:pt idx="2">
                  <c:v>79</c:v>
                </c:pt>
              </c:numCache>
            </c:numRef>
          </c:val>
          <c:extLst>
            <c:ext xmlns:c16="http://schemas.microsoft.com/office/drawing/2014/chart" uri="{C3380CC4-5D6E-409C-BE32-E72D297353CC}">
              <c16:uniqueId val="{00000000-8898-45B0-97CC-24D8CF339B6A}"/>
            </c:ext>
          </c:extLst>
        </c:ser>
        <c:dLbls>
          <c:dLblPos val="outEnd"/>
          <c:showLegendKey val="0"/>
          <c:showVal val="1"/>
          <c:showCatName val="0"/>
          <c:showSerName val="0"/>
          <c:showPercent val="0"/>
          <c:showBubbleSize val="0"/>
        </c:dLbls>
        <c:gapWidth val="219"/>
        <c:overlap val="-27"/>
        <c:axId val="939408208"/>
        <c:axId val="939402928"/>
      </c:barChart>
      <c:catAx>
        <c:axId val="9394082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SQL</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402928"/>
        <c:crosses val="autoZero"/>
        <c:auto val="1"/>
        <c:lblAlgn val="ctr"/>
        <c:lblOffset val="100"/>
        <c:noMultiLvlLbl val="0"/>
      </c:catAx>
      <c:valAx>
        <c:axId val="939402928"/>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Student ID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3940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Java</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 of Student ID by Java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pivot_table!$A$28:$A$31</c:f>
              <c:strCache>
                <c:ptCount val="3"/>
                <c:pt idx="0">
                  <c:v>Average</c:v>
                </c:pt>
                <c:pt idx="1">
                  <c:v>Weak</c:v>
                </c:pt>
                <c:pt idx="2">
                  <c:v>Strong</c:v>
                </c:pt>
              </c:strCache>
            </c:strRef>
          </c:cat>
          <c:val>
            <c:numRef>
              <c:f>pivot_table!$B$28:$B$31</c:f>
              <c:numCache>
                <c:formatCode>General</c:formatCode>
                <c:ptCount val="3"/>
                <c:pt idx="0">
                  <c:v>47</c:v>
                </c:pt>
                <c:pt idx="1">
                  <c:v>64</c:v>
                </c:pt>
                <c:pt idx="2">
                  <c:v>69</c:v>
                </c:pt>
              </c:numCache>
            </c:numRef>
          </c:val>
          <c:extLst>
            <c:ext xmlns:c16="http://schemas.microsoft.com/office/drawing/2014/chart" uri="{C3380CC4-5D6E-409C-BE32-E72D297353CC}">
              <c16:uniqueId val="{00000000-769D-468C-AD0A-9048EB1BFACF}"/>
            </c:ext>
          </c:extLst>
        </c:ser>
        <c:dLbls>
          <c:dLblPos val="outEnd"/>
          <c:showLegendKey val="0"/>
          <c:showVal val="1"/>
          <c:showCatName val="0"/>
          <c:showSerName val="0"/>
          <c:showPercent val="0"/>
          <c:showBubbleSize val="0"/>
        </c:dLbls>
        <c:gapWidth val="219"/>
        <c:overlap val="-27"/>
        <c:axId val="805938784"/>
        <c:axId val="805939264"/>
      </c:barChart>
      <c:catAx>
        <c:axId val="8059387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Java</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39264"/>
        <c:crosses val="autoZero"/>
        <c:auto val="1"/>
        <c:lblAlgn val="ctr"/>
        <c:lblOffset val="100"/>
        <c:noMultiLvlLbl val="0"/>
      </c:catAx>
      <c:valAx>
        <c:axId val="805939264"/>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Student ID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0593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Age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GPA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pivot_table!$A$92:$A$101</c:f>
              <c:strCache>
                <c:ptCount val="9"/>
                <c:pt idx="0">
                  <c:v>20</c:v>
                </c:pt>
                <c:pt idx="1">
                  <c:v>21</c:v>
                </c:pt>
                <c:pt idx="2">
                  <c:v>22</c:v>
                </c:pt>
                <c:pt idx="3">
                  <c:v>23</c:v>
                </c:pt>
                <c:pt idx="4">
                  <c:v>29</c:v>
                </c:pt>
                <c:pt idx="5">
                  <c:v>31</c:v>
                </c:pt>
                <c:pt idx="6">
                  <c:v>33</c:v>
                </c:pt>
                <c:pt idx="7">
                  <c:v>35</c:v>
                </c:pt>
                <c:pt idx="8">
                  <c:v>37</c:v>
                </c:pt>
              </c:strCache>
            </c:strRef>
          </c:cat>
          <c:val>
            <c:numRef>
              <c:f>pivot_table!$B$92:$B$101</c:f>
              <c:numCache>
                <c:formatCode>0.0</c:formatCode>
                <c:ptCount val="9"/>
                <c:pt idx="0">
                  <c:v>3.5088235294117633</c:v>
                </c:pt>
                <c:pt idx="1">
                  <c:v>3.6458333333333339</c:v>
                </c:pt>
                <c:pt idx="2">
                  <c:v>3.6433962264150939</c:v>
                </c:pt>
                <c:pt idx="3">
                  <c:v>3.6055555555555543</c:v>
                </c:pt>
                <c:pt idx="4">
                  <c:v>3.6500000000000004</c:v>
                </c:pt>
                <c:pt idx="5">
                  <c:v>3.5</c:v>
                </c:pt>
                <c:pt idx="6">
                  <c:v>3.7</c:v>
                </c:pt>
                <c:pt idx="7">
                  <c:v>3.9</c:v>
                </c:pt>
                <c:pt idx="8">
                  <c:v>3.75</c:v>
                </c:pt>
              </c:numCache>
            </c:numRef>
          </c:val>
          <c:extLst>
            <c:ext xmlns:c16="http://schemas.microsoft.com/office/drawing/2014/chart" uri="{C3380CC4-5D6E-409C-BE32-E72D297353CC}">
              <c16:uniqueId val="{00000000-80D1-4EC2-9F3C-8A8FEF66EA95}"/>
            </c:ext>
          </c:extLst>
        </c:ser>
        <c:dLbls>
          <c:dLblPos val="outEnd"/>
          <c:showLegendKey val="0"/>
          <c:showVal val="1"/>
          <c:showCatName val="0"/>
          <c:showSerName val="0"/>
          <c:showPercent val="0"/>
          <c:showBubbleSize val="0"/>
        </c:dLbls>
        <c:gapWidth val="219"/>
        <c:overlap val="-27"/>
        <c:axId val="973992656"/>
        <c:axId val="973989776"/>
      </c:barChart>
      <c:catAx>
        <c:axId val="97399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89776"/>
        <c:crosses val="autoZero"/>
        <c:auto val="1"/>
        <c:lblAlgn val="ctr"/>
        <c:lblOffset val="100"/>
        <c:noMultiLvlLbl val="0"/>
      </c:catAx>
      <c:valAx>
        <c:axId val="97398977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GPA</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97399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[cs_students.xlsx]pivot_table!Student Gender Composition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Gender Composition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423655120560623"/>
          <c:y val="0.16369509355609663"/>
          <c:w val="0.51648619004771934"/>
          <c:h val="0.75229990857764606"/>
        </c:manualLayout>
      </c:layout>
      <c:pieChart>
        <c:varyColors val="1"/>
        <c:ser>
          <c:idx val="0"/>
          <c:order val="0"/>
          <c:tx>
            <c:strRef>
              <c:f>pivot_table!$B$105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57-4072-AA5E-B0B841F0E05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E57-4072-AA5E-B0B841F0E0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pivot_table!$A$106:$A$108</c:f>
              <c:strCache>
                <c:ptCount val="2"/>
                <c:pt idx="0">
                  <c:v>Female</c:v>
                </c:pt>
                <c:pt idx="1">
                  <c:v>Male</c:v>
                </c:pt>
              </c:strCache>
            </c:strRef>
          </c:cat>
          <c:val>
            <c:numRef>
              <c:f>pivot_table!$B$106:$B$108</c:f>
              <c:numCache>
                <c:formatCode>General</c:formatCode>
                <c:ptCount val="2"/>
                <c:pt idx="0">
                  <c:v>78</c:v>
                </c:pt>
                <c:pt idx="1">
                  <c:v>102</c:v>
                </c:pt>
              </c:numCache>
            </c:numRef>
          </c:val>
          <c:extLst>
            <c:ext xmlns:c16="http://schemas.microsoft.com/office/drawing/2014/chart" uri="{C3380CC4-5D6E-409C-BE32-E72D297353CC}">
              <c16:uniqueId val="{00000004-7E57-4072-AA5E-B0B841F0E0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Career Interest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Student Count by Career Interest (Top 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pivot_table!$A$175:$A$181</c:f>
              <c:strCache>
                <c:ptCount val="6"/>
                <c:pt idx="0">
                  <c:v>Web Developer</c:v>
                </c:pt>
                <c:pt idx="1">
                  <c:v>Mobile App Developer</c:v>
                </c:pt>
                <c:pt idx="2">
                  <c:v>Information Security Analyst</c:v>
                </c:pt>
                <c:pt idx="3">
                  <c:v>Database Administrator</c:v>
                </c:pt>
                <c:pt idx="4">
                  <c:v>Cloud Solutions Architect</c:v>
                </c:pt>
                <c:pt idx="5">
                  <c:v>Software Engineer</c:v>
                </c:pt>
              </c:strCache>
            </c:strRef>
          </c:cat>
          <c:val>
            <c:numRef>
              <c:f>pivot_table!$B$175:$B$181</c:f>
              <c:numCache>
                <c:formatCode>General</c:formatCode>
                <c:ptCount val="6"/>
                <c:pt idx="0">
                  <c:v>19</c:v>
                </c:pt>
                <c:pt idx="1">
                  <c:v>17</c:v>
                </c:pt>
                <c:pt idx="2">
                  <c:v>17</c:v>
                </c:pt>
                <c:pt idx="3">
                  <c:v>16</c:v>
                </c:pt>
                <c:pt idx="4">
                  <c:v>16</c:v>
                </c:pt>
                <c:pt idx="5">
                  <c:v>14</c:v>
                </c:pt>
              </c:numCache>
            </c:numRef>
          </c:val>
          <c:extLst>
            <c:ext xmlns:c16="http://schemas.microsoft.com/office/drawing/2014/chart" uri="{C3380CC4-5D6E-409C-BE32-E72D297353CC}">
              <c16:uniqueId val="{00000000-53AA-4BF5-A77E-55EF3ABF684C}"/>
            </c:ext>
          </c:extLst>
        </c:ser>
        <c:dLbls>
          <c:dLblPos val="outEnd"/>
          <c:showLegendKey val="0"/>
          <c:showVal val="1"/>
          <c:showCatName val="0"/>
          <c:showSerName val="0"/>
          <c:showPercent val="0"/>
          <c:showBubbleSize val="0"/>
        </c:dLbls>
        <c:gapWidth val="182"/>
        <c:axId val="625595263"/>
        <c:axId val="625596223"/>
      </c:barChart>
      <c:catAx>
        <c:axId val="625595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Future Career</a:t>
                </a:r>
              </a:p>
            </c:rich>
          </c:tx>
          <c:layout>
            <c:manualLayout>
              <c:xMode val="edge"/>
              <c:yMode val="edge"/>
              <c:x val="2.6371308016877638E-2"/>
              <c:y val="0.30000000000000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96223"/>
        <c:crosses val="autoZero"/>
        <c:auto val="1"/>
        <c:lblAlgn val="ctr"/>
        <c:lblOffset val="100"/>
        <c:noMultiLvlLbl val="0"/>
      </c:catAx>
      <c:valAx>
        <c:axId val="62559622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Student</a:t>
                </a:r>
                <a:r>
                  <a:rPr lang="en-US" b="1" baseline="0"/>
                  <a:t> Count</a:t>
                </a:r>
                <a:endParaRPr lang="en-US" b="1"/>
              </a:p>
            </c:rich>
          </c:tx>
          <c:layout>
            <c:manualLayout>
              <c:xMode val="edge"/>
              <c:yMode val="edge"/>
              <c:x val="0.48687710186015765"/>
              <c:y val="0.887360906058617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2559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[cs_students.xlsx]pivot_table!Average GPA by Interested Domain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GPA by Interested Domain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pivot_table!$A$49:$A$57</c:f>
              <c:strCache>
                <c:ptCount val="8"/>
                <c:pt idx="0">
                  <c:v>Natural Language Processing</c:v>
                </c:pt>
                <c:pt idx="1">
                  <c:v>Distributed Systems</c:v>
                </c:pt>
                <c:pt idx="2">
                  <c:v>Software Engineering</c:v>
                </c:pt>
                <c:pt idx="3">
                  <c:v>Quantum Computing</c:v>
                </c:pt>
                <c:pt idx="4">
                  <c:v>Data Privacy</c:v>
                </c:pt>
                <c:pt idx="5">
                  <c:v>Machine Learning</c:v>
                </c:pt>
                <c:pt idx="6">
                  <c:v>Network Security</c:v>
                </c:pt>
                <c:pt idx="7">
                  <c:v>Bioinformatics</c:v>
                </c:pt>
              </c:strCache>
            </c:strRef>
          </c:cat>
          <c:val>
            <c:numRef>
              <c:f>pivot_table!$B$49:$B$57</c:f>
              <c:numCache>
                <c:formatCode>0.0</c:formatCode>
                <c:ptCount val="8"/>
                <c:pt idx="0">
                  <c:v>3.9</c:v>
                </c:pt>
                <c:pt idx="1">
                  <c:v>3.9</c:v>
                </c:pt>
                <c:pt idx="2">
                  <c:v>3.8</c:v>
                </c:pt>
                <c:pt idx="3">
                  <c:v>3.8</c:v>
                </c:pt>
                <c:pt idx="4">
                  <c:v>3.8</c:v>
                </c:pt>
                <c:pt idx="5">
                  <c:v>3.7461538461538457</c:v>
                </c:pt>
                <c:pt idx="6">
                  <c:v>3.7</c:v>
                </c:pt>
                <c:pt idx="7">
                  <c:v>3.7</c:v>
                </c:pt>
              </c:numCache>
            </c:numRef>
          </c:val>
          <c:extLst>
            <c:ext xmlns:c16="http://schemas.microsoft.com/office/drawing/2014/chart" uri="{C3380CC4-5D6E-409C-BE32-E72D297353CC}">
              <c16:uniqueId val="{00000000-AA2C-4AF1-B626-015738495135}"/>
            </c:ext>
          </c:extLst>
        </c:ser>
        <c:dLbls>
          <c:dLblPos val="outEnd"/>
          <c:showLegendKey val="0"/>
          <c:showVal val="1"/>
          <c:showCatName val="0"/>
          <c:showSerName val="0"/>
          <c:showPercent val="0"/>
          <c:showBubbleSize val="0"/>
        </c:dLbls>
        <c:gapWidth val="182"/>
        <c:axId val="1857333631"/>
        <c:axId val="1857349951"/>
      </c:barChart>
      <c:catAx>
        <c:axId val="18573336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Interested Domain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49951"/>
        <c:crosses val="autoZero"/>
        <c:auto val="1"/>
        <c:lblAlgn val="ctr"/>
        <c:lblOffset val="100"/>
        <c:noMultiLvlLbl val="0"/>
      </c:catAx>
      <c:valAx>
        <c:axId val="185734995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GPA</a:t>
                </a:r>
              </a:p>
            </c:rich>
          </c:tx>
          <c:layout>
            <c:manualLayout>
              <c:xMode val="edge"/>
              <c:yMode val="edge"/>
              <c:x val="0.49092470277731343"/>
              <c:y val="0.853834303320780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crossAx val="185733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Artificial Intelligence</c:v>
              </c:pt>
              <c:pt idx="1">
                <c:v>Cybersecurity</c:v>
              </c:pt>
              <c:pt idx="2">
                <c:v>Web Development</c:v>
              </c:pt>
              <c:pt idx="3">
                <c:v>Database Management</c:v>
              </c:pt>
              <c:pt idx="4">
                <c:v>Cloud Computing</c:v>
              </c:pt>
              <c:pt idx="5">
                <c:v>Computer Graphics</c:v>
              </c:pt>
              <c:pt idx="6">
                <c:v>Machine Learning</c:v>
              </c:pt>
              <c:pt idx="7">
                <c:v>Mobile App Development</c:v>
              </c:pt>
              <c:pt idx="8">
                <c:v>Data Science</c:v>
              </c:pt>
            </c:strLit>
          </c:cat>
          <c:val>
            <c:numLit>
              <c:formatCode>General</c:formatCode>
              <c:ptCount val="9"/>
              <c:pt idx="0">
                <c:v>17</c:v>
              </c:pt>
              <c:pt idx="1">
                <c:v>17</c:v>
              </c:pt>
              <c:pt idx="2">
                <c:v>16</c:v>
              </c:pt>
              <c:pt idx="3">
                <c:v>15</c:v>
              </c:pt>
              <c:pt idx="4">
                <c:v>15</c:v>
              </c:pt>
              <c:pt idx="5">
                <c:v>13</c:v>
              </c:pt>
              <c:pt idx="6">
                <c:v>11</c:v>
              </c:pt>
              <c:pt idx="7">
                <c:v>9</c:v>
              </c:pt>
              <c:pt idx="8">
                <c:v>7</c:v>
              </c:pt>
            </c:numLit>
          </c:val>
          <c:extLst>
            <c:ext xmlns:c16="http://schemas.microsoft.com/office/drawing/2014/chart" uri="{C3380CC4-5D6E-409C-BE32-E72D297353CC}">
              <c16:uniqueId val="{00000000-C7C1-43D6-B9D8-1FD2EE3CC53D}"/>
            </c:ext>
          </c:extLst>
        </c:ser>
        <c:ser>
          <c:idx val="1"/>
          <c:order val="1"/>
          <c:tx>
            <c:v>B</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Artificial Intelligence</c:v>
              </c:pt>
              <c:pt idx="1">
                <c:v>Cybersecurity</c:v>
              </c:pt>
              <c:pt idx="2">
                <c:v>Web Development</c:v>
              </c:pt>
              <c:pt idx="3">
                <c:v>Database Management</c:v>
              </c:pt>
              <c:pt idx="4">
                <c:v>Cloud Computing</c:v>
              </c:pt>
              <c:pt idx="5">
                <c:v>Computer Graphics</c:v>
              </c:pt>
              <c:pt idx="6">
                <c:v>Machine Learning</c:v>
              </c:pt>
              <c:pt idx="7">
                <c:v>Mobile App Development</c:v>
              </c:pt>
              <c:pt idx="8">
                <c:v>Data Science</c:v>
              </c:pt>
            </c:strLit>
          </c:cat>
          <c:val>
            <c:numLit>
              <c:formatCode>General</c:formatCode>
              <c:ptCount val="9"/>
              <c:pt idx="0">
                <c:v>2</c:v>
              </c:pt>
              <c:pt idx="1">
                <c:v>1</c:v>
              </c:pt>
              <c:pt idx="2">
                <c:v>3</c:v>
              </c:pt>
              <c:pt idx="3">
                <c:v>1</c:v>
              </c:pt>
              <c:pt idx="4">
                <c:v>1</c:v>
              </c:pt>
              <c:pt idx="5">
                <c:v>0</c:v>
              </c:pt>
              <c:pt idx="6">
                <c:v>2</c:v>
              </c:pt>
              <c:pt idx="7">
                <c:v>8</c:v>
              </c:pt>
              <c:pt idx="8">
                <c:v>6</c:v>
              </c:pt>
            </c:numLit>
          </c:val>
          <c:extLst>
            <c:ext xmlns:c16="http://schemas.microsoft.com/office/drawing/2014/chart" uri="{C3380CC4-5D6E-409C-BE32-E72D297353CC}">
              <c16:uniqueId val="{00000001-C7C1-43D6-B9D8-1FD2EE3CC53D}"/>
            </c:ext>
          </c:extLst>
        </c:ser>
        <c:dLbls>
          <c:dLblPos val="outEnd"/>
          <c:showLegendKey val="0"/>
          <c:showVal val="1"/>
          <c:showCatName val="0"/>
          <c:showSerName val="0"/>
          <c:showPercent val="0"/>
          <c:showBubbleSize val="0"/>
        </c:dLbls>
        <c:gapWidth val="182"/>
        <c:axId val="1671120607"/>
        <c:axId val="1671116287"/>
      </c:barChart>
      <c:catAx>
        <c:axId val="16711206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Interested</a:t>
                </a:r>
                <a:r>
                  <a:rPr lang="en-US" baseline="0"/>
                  <a:t> Domain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16287"/>
        <c:crosses val="autoZero"/>
        <c:auto val="1"/>
        <c:lblAlgn val="ctr"/>
        <c:lblOffset val="100"/>
        <c:noMultiLvlLbl val="0"/>
      </c:catAx>
      <c:valAx>
        <c:axId val="167111628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7112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Web Developer</c:v>
              </c:pt>
              <c:pt idx="1">
                <c:v>Information Security Analyst</c:v>
              </c:pt>
              <c:pt idx="2">
                <c:v>Database Administrator</c:v>
              </c:pt>
              <c:pt idx="3">
                <c:v>Cloud Solutions Architect</c:v>
              </c:pt>
              <c:pt idx="4">
                <c:v>Software Engineer</c:v>
              </c:pt>
              <c:pt idx="5">
                <c:v>Mobile App Developer</c:v>
              </c:pt>
            </c:strLit>
          </c:cat>
          <c:val>
            <c:numLit>
              <c:formatCode>General</c:formatCode>
              <c:ptCount val="6"/>
              <c:pt idx="0">
                <c:v>16</c:v>
              </c:pt>
              <c:pt idx="1">
                <c:v>16</c:v>
              </c:pt>
              <c:pt idx="2">
                <c:v>15</c:v>
              </c:pt>
              <c:pt idx="3">
                <c:v>15</c:v>
              </c:pt>
              <c:pt idx="4">
                <c:v>13</c:v>
              </c:pt>
              <c:pt idx="5">
                <c:v>9</c:v>
              </c:pt>
            </c:numLit>
          </c:val>
          <c:extLst>
            <c:ext xmlns:c16="http://schemas.microsoft.com/office/drawing/2014/chart" uri="{C3380CC4-5D6E-409C-BE32-E72D297353CC}">
              <c16:uniqueId val="{00000000-1A4B-4289-AC73-DEFE9B5F63E3}"/>
            </c:ext>
          </c:extLst>
        </c:ser>
        <c:ser>
          <c:idx val="1"/>
          <c:order val="1"/>
          <c:tx>
            <c:v>B</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Web Developer</c:v>
              </c:pt>
              <c:pt idx="1">
                <c:v>Information Security Analyst</c:v>
              </c:pt>
              <c:pt idx="2">
                <c:v>Database Administrator</c:v>
              </c:pt>
              <c:pt idx="3">
                <c:v>Cloud Solutions Architect</c:v>
              </c:pt>
              <c:pt idx="4">
                <c:v>Software Engineer</c:v>
              </c:pt>
              <c:pt idx="5">
                <c:v>Mobile App Developer</c:v>
              </c:pt>
            </c:strLit>
          </c:cat>
          <c:val>
            <c:numLit>
              <c:formatCode>General</c:formatCode>
              <c:ptCount val="6"/>
              <c:pt idx="0">
                <c:v>3</c:v>
              </c:pt>
              <c:pt idx="1">
                <c:v>1</c:v>
              </c:pt>
              <c:pt idx="2">
                <c:v>1</c:v>
              </c:pt>
              <c:pt idx="3">
                <c:v>1</c:v>
              </c:pt>
              <c:pt idx="4">
                <c:v>1</c:v>
              </c:pt>
              <c:pt idx="5">
                <c:v>8</c:v>
              </c:pt>
            </c:numLit>
          </c:val>
          <c:extLst>
            <c:ext xmlns:c16="http://schemas.microsoft.com/office/drawing/2014/chart" uri="{C3380CC4-5D6E-409C-BE32-E72D297353CC}">
              <c16:uniqueId val="{00000001-1A4B-4289-AC73-DEFE9B5F63E3}"/>
            </c:ext>
          </c:extLst>
        </c:ser>
        <c:dLbls>
          <c:dLblPos val="outEnd"/>
          <c:showLegendKey val="0"/>
          <c:showVal val="1"/>
          <c:showCatName val="0"/>
          <c:showSerName val="0"/>
          <c:showPercent val="0"/>
          <c:showBubbleSize val="0"/>
        </c:dLbls>
        <c:gapWidth val="182"/>
        <c:axId val="1745881231"/>
        <c:axId val="1745878831"/>
      </c:barChart>
      <c:catAx>
        <c:axId val="17458812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Future</a:t>
                </a:r>
                <a:r>
                  <a:rPr lang="en-US" baseline="0"/>
                  <a:t> Career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78831"/>
        <c:crosses val="autoZero"/>
        <c:auto val="1"/>
        <c:lblAlgn val="ctr"/>
        <c:lblOffset val="100"/>
        <c:noMultiLvlLbl val="0"/>
      </c:catAx>
      <c:valAx>
        <c:axId val="17458788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74588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Student Grades by Python Skill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Sheet2!$A$2:$A$10</c:f>
              <c:multiLvlStrCache>
                <c:ptCount val="6"/>
                <c:lvl>
                  <c:pt idx="0">
                    <c:v>Average</c:v>
                  </c:pt>
                  <c:pt idx="1">
                    <c:v>Weak</c:v>
                  </c:pt>
                  <c:pt idx="2">
                    <c:v>Strong</c:v>
                  </c:pt>
                  <c:pt idx="3">
                    <c:v>Weak</c:v>
                  </c:pt>
                  <c:pt idx="4">
                    <c:v>Strong</c:v>
                  </c:pt>
                  <c:pt idx="5">
                    <c:v>Average</c:v>
                  </c:pt>
                </c:lvl>
                <c:lvl>
                  <c:pt idx="0">
                    <c:v>A</c:v>
                  </c:pt>
                  <c:pt idx="3">
                    <c:v>B</c:v>
                  </c:pt>
                </c:lvl>
              </c:multiLvlStrCache>
            </c:multiLvlStrRef>
          </c:cat>
          <c:val>
            <c:numRef>
              <c:f>Sheet2!$B$2:$B$10</c:f>
              <c:numCache>
                <c:formatCode>General</c:formatCode>
                <c:ptCount val="6"/>
                <c:pt idx="0">
                  <c:v>29</c:v>
                </c:pt>
                <c:pt idx="1">
                  <c:v>58</c:v>
                </c:pt>
                <c:pt idx="2">
                  <c:v>63</c:v>
                </c:pt>
                <c:pt idx="3">
                  <c:v>6</c:v>
                </c:pt>
                <c:pt idx="4">
                  <c:v>7</c:v>
                </c:pt>
                <c:pt idx="5">
                  <c:v>17</c:v>
                </c:pt>
              </c:numCache>
            </c:numRef>
          </c:val>
          <c:extLst>
            <c:ext xmlns:c16="http://schemas.microsoft.com/office/drawing/2014/chart" uri="{C3380CC4-5D6E-409C-BE32-E72D297353CC}">
              <c16:uniqueId val="{00000000-B487-41AC-8061-5562337CC855}"/>
            </c:ext>
          </c:extLst>
        </c:ser>
        <c:dLbls>
          <c:dLblPos val="outEnd"/>
          <c:showLegendKey val="0"/>
          <c:showVal val="1"/>
          <c:showCatName val="0"/>
          <c:showSerName val="0"/>
          <c:showPercent val="0"/>
          <c:showBubbleSize val="0"/>
        </c:dLbls>
        <c:gapWidth val="219"/>
        <c:overlap val="-27"/>
        <c:axId val="1816017343"/>
        <c:axId val="1816032223"/>
      </c:barChart>
      <c:catAx>
        <c:axId val="181601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Python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032223"/>
        <c:crosses val="autoZero"/>
        <c:auto val="1"/>
        <c:lblAlgn val="ctr"/>
        <c:lblOffset val="100"/>
        <c:noMultiLvlLbl val="0"/>
      </c:catAx>
      <c:valAx>
        <c:axId val="18160322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Grade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81601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Student Grades by SQL Skill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Sheet2!$A$22:$A$30</c:f>
              <c:multiLvlStrCache>
                <c:ptCount val="6"/>
                <c:lvl>
                  <c:pt idx="0">
                    <c:v>Weak</c:v>
                  </c:pt>
                  <c:pt idx="1">
                    <c:v>Average</c:v>
                  </c:pt>
                  <c:pt idx="2">
                    <c:v>Strong</c:v>
                  </c:pt>
                  <c:pt idx="3">
                    <c:v>Average</c:v>
                  </c:pt>
                  <c:pt idx="4">
                    <c:v>Strong</c:v>
                  </c:pt>
                  <c:pt idx="5">
                    <c:v>Weak</c:v>
                  </c:pt>
                </c:lvl>
                <c:lvl>
                  <c:pt idx="0">
                    <c:v>A</c:v>
                  </c:pt>
                  <c:pt idx="3">
                    <c:v>B</c:v>
                  </c:pt>
                </c:lvl>
              </c:multiLvlStrCache>
            </c:multiLvlStrRef>
          </c:cat>
          <c:val>
            <c:numRef>
              <c:f>Sheet2!$B$22:$B$30</c:f>
              <c:numCache>
                <c:formatCode>General</c:formatCode>
                <c:ptCount val="6"/>
                <c:pt idx="0">
                  <c:v>29</c:v>
                </c:pt>
                <c:pt idx="1">
                  <c:v>54</c:v>
                </c:pt>
                <c:pt idx="2">
                  <c:v>67</c:v>
                </c:pt>
                <c:pt idx="3">
                  <c:v>6</c:v>
                </c:pt>
                <c:pt idx="4">
                  <c:v>12</c:v>
                </c:pt>
                <c:pt idx="5">
                  <c:v>12</c:v>
                </c:pt>
              </c:numCache>
            </c:numRef>
          </c:val>
          <c:extLst>
            <c:ext xmlns:c16="http://schemas.microsoft.com/office/drawing/2014/chart" uri="{C3380CC4-5D6E-409C-BE32-E72D297353CC}">
              <c16:uniqueId val="{00000000-46A1-4CF0-B63C-53BED9681449}"/>
            </c:ext>
          </c:extLst>
        </c:ser>
        <c:dLbls>
          <c:dLblPos val="outEnd"/>
          <c:showLegendKey val="0"/>
          <c:showVal val="1"/>
          <c:showCatName val="0"/>
          <c:showSerName val="0"/>
          <c:showPercent val="0"/>
          <c:showBubbleSize val="0"/>
        </c:dLbls>
        <c:gapWidth val="219"/>
        <c:overlap val="-27"/>
        <c:axId val="1745864431"/>
        <c:axId val="1745868271"/>
      </c:barChart>
      <c:catAx>
        <c:axId val="174586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SQL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68271"/>
        <c:crosses val="autoZero"/>
        <c:auto val="1"/>
        <c:lblAlgn val="ctr"/>
        <c:lblOffset val="100"/>
        <c:noMultiLvlLbl val="0"/>
      </c:catAx>
      <c:valAx>
        <c:axId val="1745868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Grade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4586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Student Grades by Java Skill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Sheet2!$A$42:$A$50</c:f>
              <c:multiLvlStrCache>
                <c:ptCount val="6"/>
                <c:lvl>
                  <c:pt idx="0">
                    <c:v>Average</c:v>
                  </c:pt>
                  <c:pt idx="1">
                    <c:v>Weak</c:v>
                  </c:pt>
                  <c:pt idx="2">
                    <c:v>Strong</c:v>
                  </c:pt>
                  <c:pt idx="3">
                    <c:v>Average</c:v>
                  </c:pt>
                  <c:pt idx="4">
                    <c:v>Weak</c:v>
                  </c:pt>
                  <c:pt idx="5">
                    <c:v>Strong</c:v>
                  </c:pt>
                </c:lvl>
                <c:lvl>
                  <c:pt idx="0">
                    <c:v>A</c:v>
                  </c:pt>
                  <c:pt idx="3">
                    <c:v>B</c:v>
                  </c:pt>
                </c:lvl>
              </c:multiLvlStrCache>
            </c:multiLvlStrRef>
          </c:cat>
          <c:val>
            <c:numRef>
              <c:f>Sheet2!$B$42:$B$50</c:f>
              <c:numCache>
                <c:formatCode>General</c:formatCode>
                <c:ptCount val="6"/>
                <c:pt idx="0">
                  <c:v>45</c:v>
                </c:pt>
                <c:pt idx="1">
                  <c:v>51</c:v>
                </c:pt>
                <c:pt idx="2">
                  <c:v>54</c:v>
                </c:pt>
                <c:pt idx="3">
                  <c:v>2</c:v>
                </c:pt>
                <c:pt idx="4">
                  <c:v>13</c:v>
                </c:pt>
                <c:pt idx="5">
                  <c:v>15</c:v>
                </c:pt>
              </c:numCache>
            </c:numRef>
          </c:val>
          <c:extLst>
            <c:ext xmlns:c16="http://schemas.microsoft.com/office/drawing/2014/chart" uri="{C3380CC4-5D6E-409C-BE32-E72D297353CC}">
              <c16:uniqueId val="{00000000-CDA4-497C-B7D6-B5C2D247D65E}"/>
            </c:ext>
          </c:extLst>
        </c:ser>
        <c:dLbls>
          <c:dLblPos val="outEnd"/>
          <c:showLegendKey val="0"/>
          <c:showVal val="1"/>
          <c:showCatName val="0"/>
          <c:showSerName val="0"/>
          <c:showPercent val="0"/>
          <c:showBubbleSize val="0"/>
        </c:dLbls>
        <c:gapWidth val="219"/>
        <c:overlap val="-27"/>
        <c:axId val="1745860591"/>
        <c:axId val="1745871631"/>
      </c:barChart>
      <c:catAx>
        <c:axId val="1745860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Java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71631"/>
        <c:crosses val="autoZero"/>
        <c:auto val="1"/>
        <c:lblAlgn val="ctr"/>
        <c:lblOffset val="100"/>
        <c:noMultiLvlLbl val="0"/>
      </c:catAx>
      <c:valAx>
        <c:axId val="17458716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Grade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4586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Sheet2!$B$59:$B$60</c:f>
              <c:strCache>
                <c:ptCount val="1"/>
                <c:pt idx="0">
                  <c: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Sheet2!$A$61:$A$65</c:f>
              <c:strCache>
                <c:ptCount val="4"/>
                <c:pt idx="0">
                  <c:v>20-24</c:v>
                </c:pt>
                <c:pt idx="1">
                  <c:v>25-29</c:v>
                </c:pt>
                <c:pt idx="2">
                  <c:v>30-34</c:v>
                </c:pt>
                <c:pt idx="3">
                  <c:v>35-39</c:v>
                </c:pt>
              </c:strCache>
            </c:strRef>
          </c:cat>
          <c:val>
            <c:numRef>
              <c:f>Sheet2!$B$61:$B$65</c:f>
              <c:numCache>
                <c:formatCode>General</c:formatCode>
                <c:ptCount val="4"/>
                <c:pt idx="0">
                  <c:v>141</c:v>
                </c:pt>
                <c:pt idx="1">
                  <c:v>2</c:v>
                </c:pt>
                <c:pt idx="2">
                  <c:v>3</c:v>
                </c:pt>
                <c:pt idx="3">
                  <c:v>4</c:v>
                </c:pt>
              </c:numCache>
            </c:numRef>
          </c:val>
          <c:extLst>
            <c:ext xmlns:c16="http://schemas.microsoft.com/office/drawing/2014/chart" uri="{C3380CC4-5D6E-409C-BE32-E72D297353CC}">
              <c16:uniqueId val="{00000000-7CDA-4FC9-8D06-CBEF05FBA22A}"/>
            </c:ext>
          </c:extLst>
        </c:ser>
        <c:ser>
          <c:idx val="1"/>
          <c:order val="1"/>
          <c:tx>
            <c:strRef>
              <c:f>Sheet2!$C$59:$C$60</c:f>
              <c:strCache>
                <c:ptCount val="1"/>
                <c:pt idx="0">
                  <c:v>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Sheet2!$A$61:$A$65</c:f>
              <c:strCache>
                <c:ptCount val="4"/>
                <c:pt idx="0">
                  <c:v>20-24</c:v>
                </c:pt>
                <c:pt idx="1">
                  <c:v>25-29</c:v>
                </c:pt>
                <c:pt idx="2">
                  <c:v>30-34</c:v>
                </c:pt>
                <c:pt idx="3">
                  <c:v>35-39</c:v>
                </c:pt>
              </c:strCache>
            </c:strRef>
          </c:cat>
          <c:val>
            <c:numRef>
              <c:f>Sheet2!$C$61:$C$65</c:f>
              <c:numCache>
                <c:formatCode>General</c:formatCode>
                <c:ptCount val="4"/>
                <c:pt idx="0">
                  <c:v>30</c:v>
                </c:pt>
              </c:numCache>
            </c:numRef>
          </c:val>
          <c:extLst>
            <c:ext xmlns:c16="http://schemas.microsoft.com/office/drawing/2014/chart" uri="{C3380CC4-5D6E-409C-BE32-E72D297353CC}">
              <c16:uniqueId val="{00000003-7CDA-4FC9-8D06-CBEF05FBA22A}"/>
            </c:ext>
          </c:extLst>
        </c:ser>
        <c:dLbls>
          <c:dLblPos val="outEnd"/>
          <c:showLegendKey val="0"/>
          <c:showVal val="1"/>
          <c:showCatName val="0"/>
          <c:showSerName val="0"/>
          <c:showPercent val="0"/>
          <c:showBubbleSize val="0"/>
        </c:dLbls>
        <c:gapWidth val="219"/>
        <c:overlap val="-27"/>
        <c:axId val="1745883151"/>
        <c:axId val="1745884111"/>
      </c:barChart>
      <c:catAx>
        <c:axId val="1745883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884111"/>
        <c:crosses val="autoZero"/>
        <c:auto val="1"/>
        <c:lblAlgn val="ctr"/>
        <c:lblOffset val="100"/>
        <c:noMultiLvlLbl val="0"/>
      </c:catAx>
      <c:valAx>
        <c:axId val="174588411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Grade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4588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[cs_students.xlsx]Sheet2!PivotTable21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Gender Composition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5733639545056869"/>
          <c:y val="0.14796004666083407"/>
          <c:w val="0.4726979440069991"/>
          <c:h val="0.78782990667833186"/>
        </c:manualLayout>
      </c:layout>
      <c:pieChart>
        <c:varyColors val="1"/>
        <c:ser>
          <c:idx val="0"/>
          <c:order val="0"/>
          <c:tx>
            <c:strRef>
              <c:f>Sheet2!$B$124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E3-4362-9CD5-018EC36CF62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9E3-4362-9CD5-018EC36CF6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Sheet2!$A$125:$A$127</c:f>
              <c:strCache>
                <c:ptCount val="2"/>
                <c:pt idx="0">
                  <c:v>Female</c:v>
                </c:pt>
                <c:pt idx="1">
                  <c:v>Male</c:v>
                </c:pt>
              </c:strCache>
            </c:strRef>
          </c:cat>
          <c:val>
            <c:numRef>
              <c:f>Sheet2!$B$125:$B$127</c:f>
              <c:numCache>
                <c:formatCode>General</c:formatCode>
                <c:ptCount val="2"/>
                <c:pt idx="0">
                  <c:v>78</c:v>
                </c:pt>
                <c:pt idx="1">
                  <c:v>102</c:v>
                </c:pt>
              </c:numCache>
            </c:numRef>
          </c:val>
          <c:extLst>
            <c:ext xmlns:c16="http://schemas.microsoft.com/office/drawing/2014/chart" uri="{C3380CC4-5D6E-409C-BE32-E72D297353CC}">
              <c16:uniqueId val="{00000000-BCF6-478B-BFF8-3A2526DF1B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3</xdr:col>
      <xdr:colOff>19051</xdr:colOff>
      <xdr:row>1</xdr:row>
      <xdr:rowOff>0</xdr:rowOff>
    </xdr:from>
    <xdr:to>
      <xdr:col>7</xdr:col>
      <xdr:colOff>20267</xdr:colOff>
      <xdr:row>11</xdr:row>
      <xdr:rowOff>177801</xdr:rowOff>
    </xdr:to>
    <xdr:graphicFrame macro="">
      <xdr:nvGraphicFramePr>
        <xdr:cNvPr id="2" name="Chart 1">
          <a:extLst>
            <a:ext uri="{FF2B5EF4-FFF2-40B4-BE49-F238E27FC236}">
              <a16:creationId xmlns:a16="http://schemas.microsoft.com/office/drawing/2014/main" id="{8B8CDEF1-2650-F39F-9CAD-489E81467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13</xdr:row>
      <xdr:rowOff>31172</xdr:rowOff>
    </xdr:from>
    <xdr:to>
      <xdr:col>7</xdr:col>
      <xdr:colOff>13511</xdr:colOff>
      <xdr:row>24</xdr:row>
      <xdr:rowOff>34347</xdr:rowOff>
    </xdr:to>
    <xdr:graphicFrame macro="">
      <xdr:nvGraphicFramePr>
        <xdr:cNvPr id="3" name="Chart 2">
          <a:extLst>
            <a:ext uri="{FF2B5EF4-FFF2-40B4-BE49-F238E27FC236}">
              <a16:creationId xmlns:a16="http://schemas.microsoft.com/office/drawing/2014/main" id="{A058E5D0-4615-E9BD-951A-9425676E9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35213</xdr:colOff>
      <xdr:row>25</xdr:row>
      <xdr:rowOff>180975</xdr:rowOff>
    </xdr:from>
    <xdr:to>
      <xdr:col>7</xdr:col>
      <xdr:colOff>42374</xdr:colOff>
      <xdr:row>39</xdr:row>
      <xdr:rowOff>0</xdr:rowOff>
    </xdr:to>
    <xdr:graphicFrame macro="">
      <xdr:nvGraphicFramePr>
        <xdr:cNvPr id="4" name="Chart 3">
          <a:extLst>
            <a:ext uri="{FF2B5EF4-FFF2-40B4-BE49-F238E27FC236}">
              <a16:creationId xmlns:a16="http://schemas.microsoft.com/office/drawing/2014/main" id="{4D467E2F-281F-378B-0D2D-87540F0E8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10809</xdr:colOff>
      <xdr:row>88</xdr:row>
      <xdr:rowOff>6571</xdr:rowOff>
    </xdr:from>
    <xdr:to>
      <xdr:col>6</xdr:col>
      <xdr:colOff>797128</xdr:colOff>
      <xdr:row>103</xdr:row>
      <xdr:rowOff>16348</xdr:rowOff>
    </xdr:to>
    <xdr:graphicFrame macro="">
      <xdr:nvGraphicFramePr>
        <xdr:cNvPr id="8" name="Chart 7">
          <a:extLst>
            <a:ext uri="{FF2B5EF4-FFF2-40B4-BE49-F238E27FC236}">
              <a16:creationId xmlns:a16="http://schemas.microsoft.com/office/drawing/2014/main" id="{37712C62-9985-CA9D-32E2-9BD7D90E0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4535</xdr:colOff>
      <xdr:row>103</xdr:row>
      <xdr:rowOff>166376</xdr:rowOff>
    </xdr:from>
    <xdr:to>
      <xdr:col>5</xdr:col>
      <xdr:colOff>939885</xdr:colOff>
      <xdr:row>117</xdr:row>
      <xdr:rowOff>15481</xdr:rowOff>
    </xdr:to>
    <xdr:graphicFrame macro="">
      <xdr:nvGraphicFramePr>
        <xdr:cNvPr id="10" name="Chart 9">
          <a:extLst>
            <a:ext uri="{FF2B5EF4-FFF2-40B4-BE49-F238E27FC236}">
              <a16:creationId xmlns:a16="http://schemas.microsoft.com/office/drawing/2014/main" id="{8A11BA57-9E94-0284-A19D-5272D281C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791455</xdr:colOff>
      <xdr:row>163</xdr:row>
      <xdr:rowOff>133073</xdr:rowOff>
    </xdr:from>
    <xdr:to>
      <xdr:col>7</xdr:col>
      <xdr:colOff>192851</xdr:colOff>
      <xdr:row>178</xdr:row>
      <xdr:rowOff>171643</xdr:rowOff>
    </xdr:to>
    <xdr:graphicFrame macro="">
      <xdr:nvGraphicFramePr>
        <xdr:cNvPr id="5" name="Chart 4">
          <a:extLst>
            <a:ext uri="{FF2B5EF4-FFF2-40B4-BE49-F238E27FC236}">
              <a16:creationId xmlns:a16="http://schemas.microsoft.com/office/drawing/2014/main" id="{BD4DDE5D-1508-DBFA-4FB8-684A0F5DA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10977</xdr:colOff>
      <xdr:row>47</xdr:row>
      <xdr:rowOff>313</xdr:rowOff>
    </xdr:from>
    <xdr:to>
      <xdr:col>5</xdr:col>
      <xdr:colOff>1549088</xdr:colOff>
      <xdr:row>62</xdr:row>
      <xdr:rowOff>38883</xdr:rowOff>
    </xdr:to>
    <xdr:graphicFrame macro="">
      <xdr:nvGraphicFramePr>
        <xdr:cNvPr id="7" name="Chart 6">
          <a:extLst>
            <a:ext uri="{FF2B5EF4-FFF2-40B4-BE49-F238E27FC236}">
              <a16:creationId xmlns:a16="http://schemas.microsoft.com/office/drawing/2014/main" id="{A57BCD61-D0D7-E00D-CCBF-DF1321FDB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106794</xdr:colOff>
      <xdr:row>1</xdr:row>
      <xdr:rowOff>73052</xdr:rowOff>
    </xdr:from>
    <xdr:to>
      <xdr:col>34</xdr:col>
      <xdr:colOff>83216</xdr:colOff>
      <xdr:row>62</xdr:row>
      <xdr:rowOff>76321</xdr:rowOff>
    </xdr:to>
    <xdr:sp macro="" textlink="">
      <xdr:nvSpPr>
        <xdr:cNvPr id="2" name="Rectangle: Rounded Corners 1">
          <a:extLst>
            <a:ext uri="{FF2B5EF4-FFF2-40B4-BE49-F238E27FC236}">
              <a16:creationId xmlns:a16="http://schemas.microsoft.com/office/drawing/2014/main" id="{B5530C6F-1D2C-446A-8205-B9DE6367B084}"/>
            </a:ext>
          </a:extLst>
        </xdr:cNvPr>
        <xdr:cNvSpPr/>
      </xdr:nvSpPr>
      <xdr:spPr>
        <a:xfrm>
          <a:off x="717371" y="256225"/>
          <a:ext cx="20125460" cy="11176827"/>
        </a:xfrm>
        <a:prstGeom prst="roundRect">
          <a:avLst>
            <a:gd name="adj" fmla="val 40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586336</xdr:colOff>
      <xdr:row>1</xdr:row>
      <xdr:rowOff>80605</xdr:rowOff>
    </xdr:from>
    <xdr:to>
      <xdr:col>33</xdr:col>
      <xdr:colOff>304923</xdr:colOff>
      <xdr:row>4</xdr:row>
      <xdr:rowOff>97110</xdr:rowOff>
    </xdr:to>
    <xdr:sp macro="" textlink="">
      <xdr:nvSpPr>
        <xdr:cNvPr id="3" name="Rectangle 2">
          <a:extLst>
            <a:ext uri="{FF2B5EF4-FFF2-40B4-BE49-F238E27FC236}">
              <a16:creationId xmlns:a16="http://schemas.microsoft.com/office/drawing/2014/main" id="{1AE5C8F2-F5E4-41CD-A620-9D03C83AD93D}"/>
            </a:ext>
          </a:extLst>
        </xdr:cNvPr>
        <xdr:cNvSpPr/>
      </xdr:nvSpPr>
      <xdr:spPr>
        <a:xfrm>
          <a:off x="1196913" y="263778"/>
          <a:ext cx="19257048" cy="566024"/>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800" b="1">
              <a:solidFill>
                <a:schemeClr val="tx1"/>
              </a:solidFill>
            </a:rPr>
            <a:t>REDEEMER'S</a:t>
          </a:r>
          <a:r>
            <a:rPr lang="en-US" sz="2800" b="1" baseline="0">
              <a:solidFill>
                <a:schemeClr val="tx1"/>
              </a:solidFill>
            </a:rPr>
            <a:t> UNIVERSITY </a:t>
          </a:r>
          <a:r>
            <a:rPr lang="en-US" sz="2800" b="1">
              <a:solidFill>
                <a:schemeClr val="tx1"/>
              </a:solidFill>
            </a:rPr>
            <a:t>COMPUTER</a:t>
          </a:r>
          <a:r>
            <a:rPr lang="en-US" sz="2800" b="1" baseline="0">
              <a:solidFill>
                <a:schemeClr val="tx1"/>
              </a:solidFill>
            </a:rPr>
            <a:t> SCIENCE STUDENT PERFORMANCE ANALYSIS </a:t>
          </a:r>
          <a:endParaRPr lang="en-US" sz="2800" b="1">
            <a:solidFill>
              <a:schemeClr val="tx1"/>
            </a:solidFill>
          </a:endParaRPr>
        </a:p>
      </xdr:txBody>
    </xdr:sp>
    <xdr:clientData/>
  </xdr:twoCellAnchor>
  <xdr:twoCellAnchor>
    <xdr:from>
      <xdr:col>1</xdr:col>
      <xdr:colOff>601011</xdr:colOff>
      <xdr:row>4</xdr:row>
      <xdr:rowOff>169331</xdr:rowOff>
    </xdr:from>
    <xdr:to>
      <xdr:col>9</xdr:col>
      <xdr:colOff>302642</xdr:colOff>
      <xdr:row>12</xdr:row>
      <xdr:rowOff>104984</xdr:rowOff>
    </xdr:to>
    <xdr:sp macro="" textlink="">
      <xdr:nvSpPr>
        <xdr:cNvPr id="9" name="Rectangle: Rounded Corners 8">
          <a:extLst>
            <a:ext uri="{FF2B5EF4-FFF2-40B4-BE49-F238E27FC236}">
              <a16:creationId xmlns:a16="http://schemas.microsoft.com/office/drawing/2014/main" id="{B503325B-06F1-486C-BA50-A2C4A9BA28C5}"/>
            </a:ext>
          </a:extLst>
        </xdr:cNvPr>
        <xdr:cNvSpPr/>
      </xdr:nvSpPr>
      <xdr:spPr>
        <a:xfrm>
          <a:off x="1211588" y="902023"/>
          <a:ext cx="4586246" cy="1401038"/>
        </a:xfrm>
        <a:prstGeom prst="roundRect">
          <a:avLst>
            <a:gd name="adj" fmla="val 10935"/>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chemeClr val="tx1"/>
              </a:solidFill>
            </a:rPr>
            <a:t>Total Students</a:t>
          </a:r>
        </a:p>
        <a:p>
          <a:pPr algn="ctr"/>
          <a:r>
            <a:rPr lang="en-US" sz="2400">
              <a:solidFill>
                <a:schemeClr val="tx1"/>
              </a:solidFill>
            </a:rPr>
            <a:t>(180)</a:t>
          </a:r>
          <a:endParaRPr lang="en-US" sz="1600">
            <a:solidFill>
              <a:schemeClr val="tx1"/>
            </a:solidFill>
          </a:endParaRPr>
        </a:p>
      </xdr:txBody>
    </xdr:sp>
    <xdr:clientData/>
  </xdr:twoCellAnchor>
  <xdr:twoCellAnchor>
    <xdr:from>
      <xdr:col>9</xdr:col>
      <xdr:colOff>580456</xdr:colOff>
      <xdr:row>4</xdr:row>
      <xdr:rowOff>178897</xdr:rowOff>
    </xdr:from>
    <xdr:to>
      <xdr:col>17</xdr:col>
      <xdr:colOff>284123</xdr:colOff>
      <xdr:row>12</xdr:row>
      <xdr:rowOff>116586</xdr:rowOff>
    </xdr:to>
    <xdr:sp macro="" textlink="">
      <xdr:nvSpPr>
        <xdr:cNvPr id="10" name="Rectangle: Rounded Corners 9">
          <a:extLst>
            <a:ext uri="{FF2B5EF4-FFF2-40B4-BE49-F238E27FC236}">
              <a16:creationId xmlns:a16="http://schemas.microsoft.com/office/drawing/2014/main" id="{AA84794A-1613-4DA2-A55E-183257ACD767}"/>
            </a:ext>
          </a:extLst>
        </xdr:cNvPr>
        <xdr:cNvSpPr/>
      </xdr:nvSpPr>
      <xdr:spPr>
        <a:xfrm>
          <a:off x="6075648" y="911589"/>
          <a:ext cx="4588283" cy="1403074"/>
        </a:xfrm>
        <a:prstGeom prst="roundRect">
          <a:avLst>
            <a:gd name="adj" fmla="val 10116"/>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chemeClr val="tx1"/>
              </a:solidFill>
            </a:rPr>
            <a:t>Average</a:t>
          </a:r>
          <a:r>
            <a:rPr lang="en-US" sz="2400" b="1" baseline="0">
              <a:solidFill>
                <a:schemeClr val="tx1"/>
              </a:solidFill>
            </a:rPr>
            <a:t> GPA</a:t>
          </a:r>
        </a:p>
        <a:p>
          <a:pPr algn="ctr"/>
          <a:r>
            <a:rPr lang="en-US" sz="2400" b="0" baseline="0">
              <a:solidFill>
                <a:schemeClr val="tx1"/>
              </a:solidFill>
            </a:rPr>
            <a:t>(3.6)</a:t>
          </a:r>
          <a:endParaRPr lang="en-US" sz="2400" b="0">
            <a:solidFill>
              <a:schemeClr val="tx1"/>
            </a:solidFill>
          </a:endParaRPr>
        </a:p>
      </xdr:txBody>
    </xdr:sp>
    <xdr:clientData/>
  </xdr:twoCellAnchor>
  <xdr:twoCellAnchor>
    <xdr:from>
      <xdr:col>17</xdr:col>
      <xdr:colOff>561937</xdr:colOff>
      <xdr:row>5</xdr:row>
      <xdr:rowOff>3661</xdr:rowOff>
    </xdr:from>
    <xdr:to>
      <xdr:col>25</xdr:col>
      <xdr:colOff>265603</xdr:colOff>
      <xdr:row>12</xdr:row>
      <xdr:rowOff>120080</xdr:rowOff>
    </xdr:to>
    <xdr:sp macro="" textlink="">
      <xdr:nvSpPr>
        <xdr:cNvPr id="11" name="Rectangle: Rounded Corners 10">
          <a:extLst>
            <a:ext uri="{FF2B5EF4-FFF2-40B4-BE49-F238E27FC236}">
              <a16:creationId xmlns:a16="http://schemas.microsoft.com/office/drawing/2014/main" id="{747E3D8F-4E0B-46F7-9450-6097CDB957B0}"/>
            </a:ext>
          </a:extLst>
        </xdr:cNvPr>
        <xdr:cNvSpPr/>
      </xdr:nvSpPr>
      <xdr:spPr>
        <a:xfrm>
          <a:off x="10941745" y="919526"/>
          <a:ext cx="4588281" cy="1398631"/>
        </a:xfrm>
        <a:prstGeom prst="roundRect">
          <a:avLst>
            <a:gd name="adj" fmla="val 6831"/>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chemeClr val="tx1"/>
              </a:solidFill>
            </a:rPr>
            <a:t>Students Percentage With Strong Python</a:t>
          </a:r>
        </a:p>
        <a:p>
          <a:pPr algn="ctr"/>
          <a:r>
            <a:rPr lang="en-US" sz="2400">
              <a:solidFill>
                <a:schemeClr val="tx1"/>
              </a:solidFill>
            </a:rPr>
            <a:t>(39%)</a:t>
          </a:r>
        </a:p>
      </xdr:txBody>
    </xdr:sp>
    <xdr:clientData/>
  </xdr:twoCellAnchor>
  <xdr:twoCellAnchor>
    <xdr:from>
      <xdr:col>25</xdr:col>
      <xdr:colOff>567225</xdr:colOff>
      <xdr:row>5</xdr:row>
      <xdr:rowOff>11604</xdr:rowOff>
    </xdr:from>
    <xdr:to>
      <xdr:col>33</xdr:col>
      <xdr:colOff>270892</xdr:colOff>
      <xdr:row>12</xdr:row>
      <xdr:rowOff>132466</xdr:rowOff>
    </xdr:to>
    <xdr:sp macro="" textlink="">
      <xdr:nvSpPr>
        <xdr:cNvPr id="12" name="Rectangle: Rounded Corners 11">
          <a:extLst>
            <a:ext uri="{FF2B5EF4-FFF2-40B4-BE49-F238E27FC236}">
              <a16:creationId xmlns:a16="http://schemas.microsoft.com/office/drawing/2014/main" id="{E76530BF-0A51-4DF4-9EF6-78EAAFDA2FB0}"/>
            </a:ext>
          </a:extLst>
        </xdr:cNvPr>
        <xdr:cNvSpPr/>
      </xdr:nvSpPr>
      <xdr:spPr>
        <a:xfrm>
          <a:off x="15831648" y="927469"/>
          <a:ext cx="4588282" cy="1403074"/>
        </a:xfrm>
        <a:prstGeom prst="roundRect">
          <a:avLst>
            <a:gd name="adj" fmla="val 11753"/>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chemeClr val="tx1"/>
              </a:solidFill>
            </a:rPr>
            <a:t>Top</a:t>
          </a:r>
          <a:r>
            <a:rPr lang="en-US" sz="2400" b="1" baseline="0">
              <a:solidFill>
                <a:schemeClr val="tx1"/>
              </a:solidFill>
            </a:rPr>
            <a:t> Future Career</a:t>
          </a:r>
        </a:p>
        <a:p>
          <a:pPr algn="ctr"/>
          <a:r>
            <a:rPr lang="en-US" sz="2400" b="0" baseline="0">
              <a:solidFill>
                <a:schemeClr val="tx1"/>
              </a:solidFill>
            </a:rPr>
            <a:t>(NLP Engineer)</a:t>
          </a:r>
          <a:endParaRPr lang="en-US" sz="2400" b="0">
            <a:solidFill>
              <a:schemeClr val="tx1"/>
            </a:solidFill>
          </a:endParaRPr>
        </a:p>
      </xdr:txBody>
    </xdr:sp>
    <xdr:clientData/>
  </xdr:twoCellAnchor>
  <xdr:twoCellAnchor>
    <xdr:from>
      <xdr:col>7</xdr:col>
      <xdr:colOff>145771</xdr:colOff>
      <xdr:row>13</xdr:row>
      <xdr:rowOff>156191</xdr:rowOff>
    </xdr:from>
    <xdr:to>
      <xdr:col>14</xdr:col>
      <xdr:colOff>409279</xdr:colOff>
      <xdr:row>28</xdr:row>
      <xdr:rowOff>121412</xdr:rowOff>
    </xdr:to>
    <xdr:graphicFrame macro="">
      <xdr:nvGraphicFramePr>
        <xdr:cNvPr id="20" name="Chart 19">
          <a:extLst>
            <a:ext uri="{FF2B5EF4-FFF2-40B4-BE49-F238E27FC236}">
              <a16:creationId xmlns:a16="http://schemas.microsoft.com/office/drawing/2014/main" id="{DF987973-B8A3-40E2-8029-E9E6E91AE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157467</xdr:colOff>
      <xdr:row>30</xdr:row>
      <xdr:rowOff>26089</xdr:rowOff>
    </xdr:from>
    <xdr:to>
      <xdr:col>14</xdr:col>
      <xdr:colOff>423373</xdr:colOff>
      <xdr:row>44</xdr:row>
      <xdr:rowOff>173982</xdr:rowOff>
    </xdr:to>
    <xdr:graphicFrame macro="">
      <xdr:nvGraphicFramePr>
        <xdr:cNvPr id="21" name="Chart 20">
          <a:extLst>
            <a:ext uri="{FF2B5EF4-FFF2-40B4-BE49-F238E27FC236}">
              <a16:creationId xmlns:a16="http://schemas.microsoft.com/office/drawing/2014/main" id="{19262899-8B8D-422A-AB17-6064A4A27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163919</xdr:colOff>
      <xdr:row>46</xdr:row>
      <xdr:rowOff>98028</xdr:rowOff>
    </xdr:from>
    <xdr:to>
      <xdr:col>14</xdr:col>
      <xdr:colOff>427427</xdr:colOff>
      <xdr:row>61</xdr:row>
      <xdr:rowOff>63250</xdr:rowOff>
    </xdr:to>
    <xdr:graphicFrame macro="">
      <xdr:nvGraphicFramePr>
        <xdr:cNvPr id="22" name="Chart 21">
          <a:extLst>
            <a:ext uri="{FF2B5EF4-FFF2-40B4-BE49-F238E27FC236}">
              <a16:creationId xmlns:a16="http://schemas.microsoft.com/office/drawing/2014/main" id="{49C3130B-754B-4B64-95B8-D39B8D7FD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125749</xdr:colOff>
      <xdr:row>30</xdr:row>
      <xdr:rowOff>77407</xdr:rowOff>
    </xdr:from>
    <xdr:to>
      <xdr:col>23</xdr:col>
      <xdr:colOff>395623</xdr:colOff>
      <xdr:row>45</xdr:row>
      <xdr:rowOff>45081</xdr:rowOff>
    </xdr:to>
    <xdr:graphicFrame macro="">
      <xdr:nvGraphicFramePr>
        <xdr:cNvPr id="23" name="Chart 22">
          <a:extLst>
            <a:ext uri="{FF2B5EF4-FFF2-40B4-BE49-F238E27FC236}">
              <a16:creationId xmlns:a16="http://schemas.microsoft.com/office/drawing/2014/main" id="{4EA0B2F9-17D3-4745-A616-7146BA974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120034</xdr:colOff>
      <xdr:row>14</xdr:row>
      <xdr:rowOff>25957</xdr:rowOff>
    </xdr:from>
    <xdr:to>
      <xdr:col>33</xdr:col>
      <xdr:colOff>211997</xdr:colOff>
      <xdr:row>61</xdr:row>
      <xdr:rowOff>73024</xdr:rowOff>
    </xdr:to>
    <xdr:graphicFrame macro="">
      <xdr:nvGraphicFramePr>
        <xdr:cNvPr id="24" name="Chart 23">
          <a:extLst>
            <a:ext uri="{FF2B5EF4-FFF2-40B4-BE49-F238E27FC236}">
              <a16:creationId xmlns:a16="http://schemas.microsoft.com/office/drawing/2014/main" id="{A30E075C-F3E9-493F-B6FD-61D132A97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148903</xdr:colOff>
      <xdr:row>46</xdr:row>
      <xdr:rowOff>96180</xdr:rowOff>
    </xdr:from>
    <xdr:to>
      <xdr:col>23</xdr:col>
      <xdr:colOff>418639</xdr:colOff>
      <xdr:row>61</xdr:row>
      <xdr:rowOff>63856</xdr:rowOff>
    </xdr:to>
    <xdr:graphicFrame macro="">
      <xdr:nvGraphicFramePr>
        <xdr:cNvPr id="25" name="Chart 24">
          <a:extLst>
            <a:ext uri="{FF2B5EF4-FFF2-40B4-BE49-F238E27FC236}">
              <a16:creationId xmlns:a16="http://schemas.microsoft.com/office/drawing/2014/main" id="{0816CD7E-320B-4C2F-8EB9-297408743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131195</xdr:colOff>
      <xdr:row>14</xdr:row>
      <xdr:rowOff>23231</xdr:rowOff>
    </xdr:from>
    <xdr:to>
      <xdr:col>23</xdr:col>
      <xdr:colOff>400931</xdr:colOff>
      <xdr:row>28</xdr:row>
      <xdr:rowOff>168116</xdr:rowOff>
    </xdr:to>
    <xdr:graphicFrame macro="">
      <xdr:nvGraphicFramePr>
        <xdr:cNvPr id="26" name="Chart 25">
          <a:extLst>
            <a:ext uri="{FF2B5EF4-FFF2-40B4-BE49-F238E27FC236}">
              <a16:creationId xmlns:a16="http://schemas.microsoft.com/office/drawing/2014/main" id="{2E18A943-884F-4241-A5BC-CEE5B9622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21107</xdr:colOff>
      <xdr:row>23</xdr:row>
      <xdr:rowOff>115178</xdr:rowOff>
    </xdr:from>
    <xdr:to>
      <xdr:col>6</xdr:col>
      <xdr:colOff>193983</xdr:colOff>
      <xdr:row>32</xdr:row>
      <xdr:rowOff>112541</xdr:rowOff>
    </xdr:to>
    <mc:AlternateContent xmlns:mc="http://schemas.openxmlformats.org/markup-compatibility/2006" xmlns:a14="http://schemas.microsoft.com/office/drawing/2010/main">
      <mc:Choice Requires="a14">
        <xdr:graphicFrame macro="">
          <xdr:nvGraphicFramePr>
            <xdr:cNvPr id="27" name="SQL 2">
              <a:extLst>
                <a:ext uri="{FF2B5EF4-FFF2-40B4-BE49-F238E27FC236}">
                  <a16:creationId xmlns:a16="http://schemas.microsoft.com/office/drawing/2014/main" id="{35D102D0-9097-4C6A-AAB6-7BF479BE63E2}"/>
                </a:ext>
              </a:extLst>
            </xdr:cNvPr>
            <xdr:cNvGraphicFramePr/>
          </xdr:nvGraphicFramePr>
          <xdr:xfrm>
            <a:off x="0" y="0"/>
            <a:ext cx="0" cy="0"/>
          </xdr:xfrm>
          <a:graphic>
            <a:graphicData uri="http://schemas.microsoft.com/office/drawing/2010/slicer">
              <sle:slicer xmlns:sle="http://schemas.microsoft.com/office/drawing/2010/slicer" name="SQL 2"/>
            </a:graphicData>
          </a:graphic>
        </xdr:graphicFrame>
      </mc:Choice>
      <mc:Fallback xmlns="">
        <xdr:sp macro="" textlink="">
          <xdr:nvSpPr>
            <xdr:cNvPr id="0" name=""/>
            <xdr:cNvSpPr>
              <a:spLocks noTextEdit="1"/>
            </xdr:cNvSpPr>
          </xdr:nvSpPr>
          <xdr:spPr>
            <a:xfrm>
              <a:off x="1238190" y="4374970"/>
              <a:ext cx="2607043" cy="1664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9711</xdr:colOff>
      <xdr:row>13</xdr:row>
      <xdr:rowOff>161608</xdr:rowOff>
    </xdr:from>
    <xdr:to>
      <xdr:col>6</xdr:col>
      <xdr:colOff>183172</xdr:colOff>
      <xdr:row>22</xdr:row>
      <xdr:rowOff>158970</xdr:rowOff>
    </xdr:to>
    <mc:AlternateContent xmlns:mc="http://schemas.openxmlformats.org/markup-compatibility/2006" xmlns:a14="http://schemas.microsoft.com/office/drawing/2010/main">
      <mc:Choice Requires="a14">
        <xdr:graphicFrame macro="">
          <xdr:nvGraphicFramePr>
            <xdr:cNvPr id="28" name="Grade">
              <a:extLst>
                <a:ext uri="{FF2B5EF4-FFF2-40B4-BE49-F238E27FC236}">
                  <a16:creationId xmlns:a16="http://schemas.microsoft.com/office/drawing/2014/main" id="{054AB5F8-2E20-4DAC-9899-0C44A7D9C7FF}"/>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226794" y="2569316"/>
              <a:ext cx="2607628" cy="166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19480</xdr:colOff>
      <xdr:row>33</xdr:row>
      <xdr:rowOff>49236</xdr:rowOff>
    </xdr:from>
    <xdr:to>
      <xdr:col>6</xdr:col>
      <xdr:colOff>192356</xdr:colOff>
      <xdr:row>42</xdr:row>
      <xdr:rowOff>46599</xdr:rowOff>
    </xdr:to>
    <mc:AlternateContent xmlns:mc="http://schemas.openxmlformats.org/markup-compatibility/2006" xmlns:a14="http://schemas.microsoft.com/office/drawing/2010/main">
      <mc:Choice Requires="a14">
        <xdr:graphicFrame macro="">
          <xdr:nvGraphicFramePr>
            <xdr:cNvPr id="29" name="Python 2">
              <a:extLst>
                <a:ext uri="{FF2B5EF4-FFF2-40B4-BE49-F238E27FC236}">
                  <a16:creationId xmlns:a16="http://schemas.microsoft.com/office/drawing/2014/main" id="{500E6F37-AD7E-4067-A833-22E094B63833}"/>
                </a:ext>
              </a:extLst>
            </xdr:cNvPr>
            <xdr:cNvGraphicFramePr/>
          </xdr:nvGraphicFramePr>
          <xdr:xfrm>
            <a:off x="0" y="0"/>
            <a:ext cx="0" cy="0"/>
          </xdr:xfrm>
          <a:graphic>
            <a:graphicData uri="http://schemas.microsoft.com/office/drawing/2010/slicer">
              <sle:slicer xmlns:sle="http://schemas.microsoft.com/office/drawing/2010/slicer" name="Python 2"/>
            </a:graphicData>
          </a:graphic>
        </xdr:graphicFrame>
      </mc:Choice>
      <mc:Fallback xmlns="">
        <xdr:sp macro="" textlink="">
          <xdr:nvSpPr>
            <xdr:cNvPr id="0" name=""/>
            <xdr:cNvSpPr>
              <a:spLocks noTextEdit="1"/>
            </xdr:cNvSpPr>
          </xdr:nvSpPr>
          <xdr:spPr>
            <a:xfrm>
              <a:off x="1236563" y="6161111"/>
              <a:ext cx="2607043" cy="1664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20557</xdr:colOff>
      <xdr:row>42</xdr:row>
      <xdr:rowOff>135140</xdr:rowOff>
    </xdr:from>
    <xdr:to>
      <xdr:col>6</xdr:col>
      <xdr:colOff>193433</xdr:colOff>
      <xdr:row>51</xdr:row>
      <xdr:rowOff>132502</xdr:rowOff>
    </xdr:to>
    <mc:AlternateContent xmlns:mc="http://schemas.openxmlformats.org/markup-compatibility/2006" xmlns:a14="http://schemas.microsoft.com/office/drawing/2010/main">
      <mc:Choice Requires="a14">
        <xdr:graphicFrame macro="">
          <xdr:nvGraphicFramePr>
            <xdr:cNvPr id="30" name="Gender 2">
              <a:extLst>
                <a:ext uri="{FF2B5EF4-FFF2-40B4-BE49-F238E27FC236}">
                  <a16:creationId xmlns:a16="http://schemas.microsoft.com/office/drawing/2014/main" id="{5BF11A62-7995-44FB-9228-72518667AC9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37640" y="7913890"/>
              <a:ext cx="2607043" cy="166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17985</xdr:colOff>
      <xdr:row>52</xdr:row>
      <xdr:rowOff>79071</xdr:rowOff>
    </xdr:from>
    <xdr:to>
      <xdr:col>6</xdr:col>
      <xdr:colOff>190861</xdr:colOff>
      <xdr:row>61</xdr:row>
      <xdr:rowOff>76433</xdr:rowOff>
    </xdr:to>
    <mc:AlternateContent xmlns:mc="http://schemas.openxmlformats.org/markup-compatibility/2006" xmlns:a14="http://schemas.microsoft.com/office/drawing/2010/main">
      <mc:Choice Requires="a14">
        <xdr:graphicFrame macro="">
          <xdr:nvGraphicFramePr>
            <xdr:cNvPr id="32" name="Java 2">
              <a:extLst>
                <a:ext uri="{FF2B5EF4-FFF2-40B4-BE49-F238E27FC236}">
                  <a16:creationId xmlns:a16="http://schemas.microsoft.com/office/drawing/2014/main" id="{2832D1F8-05BB-4D6B-AEE4-2E22E18A40B4}"/>
                </a:ext>
              </a:extLst>
            </xdr:cNvPr>
            <xdr:cNvGraphicFramePr/>
          </xdr:nvGraphicFramePr>
          <xdr:xfrm>
            <a:off x="0" y="0"/>
            <a:ext cx="0" cy="0"/>
          </xdr:xfrm>
          <a:graphic>
            <a:graphicData uri="http://schemas.microsoft.com/office/drawing/2010/slicer">
              <sle:slicer xmlns:sle="http://schemas.microsoft.com/office/drawing/2010/slicer" name="Java 2"/>
            </a:graphicData>
          </a:graphic>
        </xdr:graphicFrame>
      </mc:Choice>
      <mc:Fallback xmlns="">
        <xdr:sp macro="" textlink="">
          <xdr:nvSpPr>
            <xdr:cNvPr id="0" name=""/>
            <xdr:cNvSpPr>
              <a:spLocks noTextEdit="1"/>
            </xdr:cNvSpPr>
          </xdr:nvSpPr>
          <xdr:spPr>
            <a:xfrm>
              <a:off x="1235068" y="9709904"/>
              <a:ext cx="2607043" cy="166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261937</xdr:colOff>
      <xdr:row>2</xdr:row>
      <xdr:rowOff>22226</xdr:rowOff>
    </xdr:from>
    <xdr:to>
      <xdr:col>21</xdr:col>
      <xdr:colOff>218282</xdr:colOff>
      <xdr:row>64</xdr:row>
      <xdr:rowOff>20774</xdr:rowOff>
    </xdr:to>
    <xdr:sp macro="" textlink="">
      <xdr:nvSpPr>
        <xdr:cNvPr id="2" name="Rectangle: Rounded Corners 1">
          <a:extLst>
            <a:ext uri="{FF2B5EF4-FFF2-40B4-BE49-F238E27FC236}">
              <a16:creationId xmlns:a16="http://schemas.microsoft.com/office/drawing/2014/main" id="{E328B94B-A6BE-7525-217A-589DFCEC94C3}"/>
            </a:ext>
          </a:extLst>
        </xdr:cNvPr>
        <xdr:cNvSpPr/>
      </xdr:nvSpPr>
      <xdr:spPr>
        <a:xfrm>
          <a:off x="874258" y="385083"/>
          <a:ext cx="12202774" cy="11247120"/>
        </a:xfrm>
        <a:prstGeom prst="roundRect">
          <a:avLst>
            <a:gd name="adj" fmla="val 354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47626</xdr:colOff>
      <xdr:row>2</xdr:row>
      <xdr:rowOff>32630</xdr:rowOff>
    </xdr:from>
    <xdr:to>
      <xdr:col>20</xdr:col>
      <xdr:colOff>442232</xdr:colOff>
      <xdr:row>5</xdr:row>
      <xdr:rowOff>49135</xdr:rowOff>
    </xdr:to>
    <xdr:sp macro="" textlink="">
      <xdr:nvSpPr>
        <xdr:cNvPr id="3" name="Rectangle 2">
          <a:extLst>
            <a:ext uri="{FF2B5EF4-FFF2-40B4-BE49-F238E27FC236}">
              <a16:creationId xmlns:a16="http://schemas.microsoft.com/office/drawing/2014/main" id="{5A869AB4-898F-E679-C42D-3E4259F1859A}"/>
            </a:ext>
          </a:extLst>
        </xdr:cNvPr>
        <xdr:cNvSpPr/>
      </xdr:nvSpPr>
      <xdr:spPr>
        <a:xfrm>
          <a:off x="1272269" y="395487"/>
          <a:ext cx="11416392" cy="560791"/>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chemeClr val="tx1"/>
              </a:solidFill>
            </a:rPr>
            <a:t>REDEEMER'S</a:t>
          </a:r>
          <a:r>
            <a:rPr lang="en-US" sz="2400" b="1" baseline="0">
              <a:solidFill>
                <a:schemeClr val="tx1"/>
              </a:solidFill>
            </a:rPr>
            <a:t> UNIVERSITY </a:t>
          </a:r>
          <a:r>
            <a:rPr lang="en-US" sz="2400" b="1">
              <a:solidFill>
                <a:schemeClr val="tx1"/>
              </a:solidFill>
            </a:rPr>
            <a:t>COMPUTER</a:t>
          </a:r>
          <a:r>
            <a:rPr lang="en-US" sz="2400" b="1" baseline="0">
              <a:solidFill>
                <a:schemeClr val="tx1"/>
              </a:solidFill>
            </a:rPr>
            <a:t> SCIENCE STUDENT PERFORMANCE ANALYSIS </a:t>
          </a:r>
          <a:endParaRPr lang="en-US" sz="2400" b="1">
            <a:solidFill>
              <a:schemeClr val="tx1"/>
            </a:solidFill>
          </a:endParaRPr>
        </a:p>
      </xdr:txBody>
    </xdr:sp>
    <xdr:clientData/>
  </xdr:twoCellAnchor>
  <xdr:twoCellAnchor editAs="oneCell">
    <xdr:from>
      <xdr:col>2</xdr:col>
      <xdr:colOff>87313</xdr:colOff>
      <xdr:row>12</xdr:row>
      <xdr:rowOff>146282</xdr:rowOff>
    </xdr:from>
    <xdr:to>
      <xdr:col>5</xdr:col>
      <xdr:colOff>82550</xdr:colOff>
      <xdr:row>22</xdr:row>
      <xdr:rowOff>40094</xdr:rowOff>
    </xdr:to>
    <mc:AlternateContent xmlns:mc="http://schemas.openxmlformats.org/markup-compatibility/2006" xmlns:a14="http://schemas.microsoft.com/office/drawing/2010/main">
      <mc:Choice Requires="a14">
        <xdr:graphicFrame macro="">
          <xdr:nvGraphicFramePr>
            <xdr:cNvPr id="4" name="Python">
              <a:extLst>
                <a:ext uri="{FF2B5EF4-FFF2-40B4-BE49-F238E27FC236}">
                  <a16:creationId xmlns:a16="http://schemas.microsoft.com/office/drawing/2014/main" id="{7A33A1C4-FA7E-4B78-9868-66A0D181C237}"/>
                </a:ext>
              </a:extLst>
            </xdr:cNvPr>
            <xdr:cNvGraphicFramePr/>
          </xdr:nvGraphicFramePr>
          <xdr:xfrm>
            <a:off x="0" y="0"/>
            <a:ext cx="0" cy="0"/>
          </xdr:xfrm>
          <a:graphic>
            <a:graphicData uri="http://schemas.microsoft.com/office/drawing/2010/slicer">
              <sle:slicer xmlns:sle="http://schemas.microsoft.com/office/drawing/2010/slicer" name="Python"/>
            </a:graphicData>
          </a:graphic>
        </xdr:graphicFrame>
      </mc:Choice>
      <mc:Fallback xmlns="">
        <xdr:sp macro="" textlink="">
          <xdr:nvSpPr>
            <xdr:cNvPr id="0" name=""/>
            <xdr:cNvSpPr>
              <a:spLocks noTextEdit="1"/>
            </xdr:cNvSpPr>
          </xdr:nvSpPr>
          <xdr:spPr>
            <a:xfrm>
              <a:off x="1321027" y="2323425"/>
              <a:ext cx="1845809" cy="1708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87313</xdr:colOff>
      <xdr:row>23</xdr:row>
      <xdr:rowOff>6213</xdr:rowOff>
    </xdr:from>
    <xdr:to>
      <xdr:col>5</xdr:col>
      <xdr:colOff>82550</xdr:colOff>
      <xdr:row>32</xdr:row>
      <xdr:rowOff>84379</xdr:rowOff>
    </xdr:to>
    <mc:AlternateContent xmlns:mc="http://schemas.openxmlformats.org/markup-compatibility/2006" xmlns:a14="http://schemas.microsoft.com/office/drawing/2010/main">
      <mc:Choice Requires="a14">
        <xdr:graphicFrame macro="">
          <xdr:nvGraphicFramePr>
            <xdr:cNvPr id="5" name="SQL">
              <a:extLst>
                <a:ext uri="{FF2B5EF4-FFF2-40B4-BE49-F238E27FC236}">
                  <a16:creationId xmlns:a16="http://schemas.microsoft.com/office/drawing/2014/main" id="{80167CD3-8F18-4FD7-9EF1-E01966549481}"/>
                </a:ext>
              </a:extLst>
            </xdr:cNvPr>
            <xdr:cNvGraphicFramePr/>
          </xdr:nvGraphicFramePr>
          <xdr:xfrm>
            <a:off x="0" y="0"/>
            <a:ext cx="0" cy="0"/>
          </xdr:xfrm>
          <a:graphic>
            <a:graphicData uri="http://schemas.microsoft.com/office/drawing/2010/slicer">
              <sle:slicer xmlns:sle="http://schemas.microsoft.com/office/drawing/2010/slicer" name="SQL"/>
            </a:graphicData>
          </a:graphic>
        </xdr:graphicFrame>
      </mc:Choice>
      <mc:Fallback xmlns="">
        <xdr:sp macro="" textlink="">
          <xdr:nvSpPr>
            <xdr:cNvPr id="0" name=""/>
            <xdr:cNvSpPr>
              <a:spLocks noTextEdit="1"/>
            </xdr:cNvSpPr>
          </xdr:nvSpPr>
          <xdr:spPr>
            <a:xfrm>
              <a:off x="1321027" y="4179070"/>
              <a:ext cx="1845809" cy="1711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57623</xdr:colOff>
      <xdr:row>33</xdr:row>
      <xdr:rowOff>41355</xdr:rowOff>
    </xdr:from>
    <xdr:to>
      <xdr:col>5</xdr:col>
      <xdr:colOff>52860</xdr:colOff>
      <xdr:row>42</xdr:row>
      <xdr:rowOff>119522</xdr:rowOff>
    </xdr:to>
    <mc:AlternateContent xmlns:mc="http://schemas.openxmlformats.org/markup-compatibility/2006" xmlns:a14="http://schemas.microsoft.com/office/drawing/2010/main">
      <mc:Choice Requires="a14">
        <xdr:graphicFrame macro="">
          <xdr:nvGraphicFramePr>
            <xdr:cNvPr id="6" name="Age">
              <a:extLst>
                <a:ext uri="{FF2B5EF4-FFF2-40B4-BE49-F238E27FC236}">
                  <a16:creationId xmlns:a16="http://schemas.microsoft.com/office/drawing/2014/main" id="{CFB279FF-27ED-4DF1-8550-F1FE2E9E466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91337" y="6028498"/>
              <a:ext cx="1845809" cy="171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87312</xdr:colOff>
      <xdr:row>43</xdr:row>
      <xdr:rowOff>71752</xdr:rowOff>
    </xdr:from>
    <xdr:to>
      <xdr:col>5</xdr:col>
      <xdr:colOff>82549</xdr:colOff>
      <xdr:row>52</xdr:row>
      <xdr:rowOff>149008</xdr:rowOff>
    </xdr:to>
    <mc:AlternateContent xmlns:mc="http://schemas.openxmlformats.org/markup-compatibility/2006" xmlns:a14="http://schemas.microsoft.com/office/drawing/2010/main">
      <mc:Choice Requires="a14">
        <xdr:graphicFrame macro="">
          <xdr:nvGraphicFramePr>
            <xdr:cNvPr id="7" name="Java">
              <a:extLst>
                <a:ext uri="{FF2B5EF4-FFF2-40B4-BE49-F238E27FC236}">
                  <a16:creationId xmlns:a16="http://schemas.microsoft.com/office/drawing/2014/main" id="{C7263EEA-28CD-466E-A5E5-F6DF5DE00BD1}"/>
                </a:ext>
              </a:extLst>
            </xdr:cNvPr>
            <xdr:cNvGraphicFramePr/>
          </xdr:nvGraphicFramePr>
          <xdr:xfrm>
            <a:off x="0" y="0"/>
            <a:ext cx="0" cy="0"/>
          </xdr:xfrm>
          <a:graphic>
            <a:graphicData uri="http://schemas.microsoft.com/office/drawing/2010/slicer">
              <sle:slicer xmlns:sle="http://schemas.microsoft.com/office/drawing/2010/slicer" name="Java"/>
            </a:graphicData>
          </a:graphic>
        </xdr:graphicFrame>
      </mc:Choice>
      <mc:Fallback xmlns="">
        <xdr:sp macro="" textlink="">
          <xdr:nvSpPr>
            <xdr:cNvPr id="0" name=""/>
            <xdr:cNvSpPr>
              <a:spLocks noTextEdit="1"/>
            </xdr:cNvSpPr>
          </xdr:nvSpPr>
          <xdr:spPr>
            <a:xfrm>
              <a:off x="1321026" y="7873181"/>
              <a:ext cx="1845809" cy="1710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87314</xdr:colOff>
      <xdr:row>53</xdr:row>
      <xdr:rowOff>115828</xdr:rowOff>
    </xdr:from>
    <xdr:to>
      <xdr:col>5</xdr:col>
      <xdr:colOff>82551</xdr:colOff>
      <xdr:row>63</xdr:row>
      <xdr:rowOff>16785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C7963C4D-D43E-4B36-AF04-86B5B8F098F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21028" y="9731542"/>
              <a:ext cx="1845809" cy="1715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55561</xdr:colOff>
      <xdr:row>5</xdr:row>
      <xdr:rowOff>137202</xdr:rowOff>
    </xdr:from>
    <xdr:to>
      <xdr:col>5</xdr:col>
      <xdr:colOff>596037</xdr:colOff>
      <xdr:row>11</xdr:row>
      <xdr:rowOff>12226</xdr:rowOff>
    </xdr:to>
    <xdr:sp macro="" textlink="">
      <xdr:nvSpPr>
        <xdr:cNvPr id="10" name="Rectangle: Rounded Corners 9">
          <a:extLst>
            <a:ext uri="{FF2B5EF4-FFF2-40B4-BE49-F238E27FC236}">
              <a16:creationId xmlns:a16="http://schemas.microsoft.com/office/drawing/2014/main" id="{E7CC8469-079C-C4C1-EAB2-D8DBC2B3C611}"/>
            </a:ext>
          </a:extLst>
        </xdr:cNvPr>
        <xdr:cNvSpPr/>
      </xdr:nvSpPr>
      <xdr:spPr>
        <a:xfrm>
          <a:off x="1280204" y="1044345"/>
          <a:ext cx="2377440" cy="963595"/>
        </a:xfrm>
        <a:prstGeom prst="roundRect">
          <a:avLst>
            <a:gd name="adj" fmla="val 10935"/>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600" b="1">
              <a:solidFill>
                <a:schemeClr val="tx1"/>
              </a:solidFill>
            </a:rPr>
            <a:t>Total Students</a:t>
          </a:r>
        </a:p>
        <a:p>
          <a:pPr algn="ctr"/>
          <a:r>
            <a:rPr lang="en-US" sz="1600">
              <a:solidFill>
                <a:schemeClr val="tx1"/>
              </a:solidFill>
            </a:rPr>
            <a:t>(180)</a:t>
          </a:r>
        </a:p>
      </xdr:txBody>
    </xdr:sp>
    <xdr:clientData/>
  </xdr:twoCellAnchor>
  <xdr:twoCellAnchor>
    <xdr:from>
      <xdr:col>6</xdr:col>
      <xdr:colOff>466044</xdr:colOff>
      <xdr:row>5</xdr:row>
      <xdr:rowOff>126998</xdr:rowOff>
    </xdr:from>
    <xdr:to>
      <xdr:col>10</xdr:col>
      <xdr:colOff>577079</xdr:colOff>
      <xdr:row>11</xdr:row>
      <xdr:rowOff>887</xdr:rowOff>
    </xdr:to>
    <xdr:sp macro="" textlink="">
      <xdr:nvSpPr>
        <xdr:cNvPr id="11" name="Rectangle: Rounded Corners 10">
          <a:extLst>
            <a:ext uri="{FF2B5EF4-FFF2-40B4-BE49-F238E27FC236}">
              <a16:creationId xmlns:a16="http://schemas.microsoft.com/office/drawing/2014/main" id="{5482D1FB-C2D1-939E-C0A1-2723408B066D}"/>
            </a:ext>
          </a:extLst>
        </xdr:cNvPr>
        <xdr:cNvSpPr/>
      </xdr:nvSpPr>
      <xdr:spPr>
        <a:xfrm>
          <a:off x="4139973" y="1034141"/>
          <a:ext cx="2560320" cy="962460"/>
        </a:xfrm>
        <a:prstGeom prst="roundRect">
          <a:avLst>
            <a:gd name="adj" fmla="val 10116"/>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600" b="1">
              <a:solidFill>
                <a:schemeClr val="tx1"/>
              </a:solidFill>
            </a:rPr>
            <a:t>Average</a:t>
          </a:r>
          <a:r>
            <a:rPr lang="en-US" sz="1600" b="1" baseline="0">
              <a:solidFill>
                <a:schemeClr val="tx1"/>
              </a:solidFill>
            </a:rPr>
            <a:t> GPA</a:t>
          </a:r>
        </a:p>
        <a:p>
          <a:pPr algn="ctr"/>
          <a:r>
            <a:rPr lang="en-US" sz="1600" b="0" baseline="0">
              <a:solidFill>
                <a:schemeClr val="tx1"/>
              </a:solidFill>
            </a:rPr>
            <a:t>(3.6)</a:t>
          </a:r>
          <a:endParaRPr lang="en-US" sz="1600" b="0">
            <a:solidFill>
              <a:schemeClr val="tx1"/>
            </a:solidFill>
          </a:endParaRPr>
        </a:p>
      </xdr:txBody>
    </xdr:sp>
    <xdr:clientData/>
  </xdr:twoCellAnchor>
  <xdr:twoCellAnchor>
    <xdr:from>
      <xdr:col>11</xdr:col>
      <xdr:colOff>383269</xdr:colOff>
      <xdr:row>5</xdr:row>
      <xdr:rowOff>134936</xdr:rowOff>
    </xdr:from>
    <xdr:to>
      <xdr:col>15</xdr:col>
      <xdr:colOff>494304</xdr:colOff>
      <xdr:row>11</xdr:row>
      <xdr:rowOff>7937</xdr:rowOff>
    </xdr:to>
    <xdr:sp macro="" textlink="">
      <xdr:nvSpPr>
        <xdr:cNvPr id="12" name="Rectangle: Rounded Corners 11">
          <a:extLst>
            <a:ext uri="{FF2B5EF4-FFF2-40B4-BE49-F238E27FC236}">
              <a16:creationId xmlns:a16="http://schemas.microsoft.com/office/drawing/2014/main" id="{333242E7-0AB9-4CD9-CAD5-86E1C6C6FE0C}"/>
            </a:ext>
          </a:extLst>
        </xdr:cNvPr>
        <xdr:cNvSpPr/>
      </xdr:nvSpPr>
      <xdr:spPr>
        <a:xfrm>
          <a:off x="7118805" y="1042079"/>
          <a:ext cx="2560320" cy="961572"/>
        </a:xfrm>
        <a:prstGeom prst="roundRect">
          <a:avLst>
            <a:gd name="adj" fmla="val 6831"/>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600" b="1">
              <a:solidFill>
                <a:schemeClr val="tx1"/>
              </a:solidFill>
            </a:rPr>
            <a:t>Students Percentage With Strong Python</a:t>
          </a:r>
        </a:p>
        <a:p>
          <a:pPr algn="ctr"/>
          <a:r>
            <a:rPr lang="en-US" sz="1600">
              <a:solidFill>
                <a:schemeClr val="tx1"/>
              </a:solidFill>
            </a:rPr>
            <a:t>(39%)</a:t>
          </a:r>
        </a:p>
      </xdr:txBody>
    </xdr:sp>
    <xdr:clientData/>
  </xdr:twoCellAnchor>
  <xdr:twoCellAnchor>
    <xdr:from>
      <xdr:col>16</xdr:col>
      <xdr:colOff>324299</xdr:colOff>
      <xdr:row>5</xdr:row>
      <xdr:rowOff>142876</xdr:rowOff>
    </xdr:from>
    <xdr:to>
      <xdr:col>20</xdr:col>
      <xdr:colOff>435333</xdr:colOff>
      <xdr:row>11</xdr:row>
      <xdr:rowOff>16765</xdr:rowOff>
    </xdr:to>
    <xdr:sp macro="" textlink="">
      <xdr:nvSpPr>
        <xdr:cNvPr id="13" name="Rectangle: Rounded Corners 12">
          <a:extLst>
            <a:ext uri="{FF2B5EF4-FFF2-40B4-BE49-F238E27FC236}">
              <a16:creationId xmlns:a16="http://schemas.microsoft.com/office/drawing/2014/main" id="{AB5CE772-76A8-068B-52DD-372B1AA841FC}"/>
            </a:ext>
          </a:extLst>
        </xdr:cNvPr>
        <xdr:cNvSpPr/>
      </xdr:nvSpPr>
      <xdr:spPr>
        <a:xfrm>
          <a:off x="10121442" y="1050019"/>
          <a:ext cx="2560320" cy="962460"/>
        </a:xfrm>
        <a:prstGeom prst="roundRect">
          <a:avLst>
            <a:gd name="adj" fmla="val 11753"/>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600" b="1">
              <a:solidFill>
                <a:schemeClr val="tx1"/>
              </a:solidFill>
            </a:rPr>
            <a:t>Top</a:t>
          </a:r>
          <a:r>
            <a:rPr lang="en-US" sz="1600" b="1" baseline="0">
              <a:solidFill>
                <a:schemeClr val="tx1"/>
              </a:solidFill>
            </a:rPr>
            <a:t> Future Career</a:t>
          </a:r>
        </a:p>
        <a:p>
          <a:pPr algn="ctr"/>
          <a:r>
            <a:rPr lang="en-US" sz="1600" b="0" baseline="0">
              <a:solidFill>
                <a:schemeClr val="tx1"/>
              </a:solidFill>
            </a:rPr>
            <a:t>(NLP Engineer)</a:t>
          </a:r>
          <a:endParaRPr lang="en-US" sz="1600" b="0">
            <a:solidFill>
              <a:schemeClr val="tx1"/>
            </a:solidFill>
          </a:endParaRPr>
        </a:p>
      </xdr:txBody>
    </xdr:sp>
    <xdr:clientData/>
  </xdr:twoCellAnchor>
  <xdr:twoCellAnchor>
    <xdr:from>
      <xdr:col>5</xdr:col>
      <xdr:colOff>277309</xdr:colOff>
      <xdr:row>12</xdr:row>
      <xdr:rowOff>153388</xdr:rowOff>
    </xdr:from>
    <xdr:to>
      <xdr:col>12</xdr:col>
      <xdr:colOff>165549</xdr:colOff>
      <xdr:row>24</xdr:row>
      <xdr:rowOff>79365</xdr:rowOff>
    </xdr:to>
    <xdr:graphicFrame macro="">
      <xdr:nvGraphicFramePr>
        <xdr:cNvPr id="14" name="Chart 13">
          <a:extLst>
            <a:ext uri="{FF2B5EF4-FFF2-40B4-BE49-F238E27FC236}">
              <a16:creationId xmlns:a16="http://schemas.microsoft.com/office/drawing/2014/main" id="{4A31A760-FD61-47AE-A2E0-5F517CB57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274865</xdr:colOff>
      <xdr:row>25</xdr:row>
      <xdr:rowOff>144534</xdr:rowOff>
    </xdr:from>
    <xdr:to>
      <xdr:col>12</xdr:col>
      <xdr:colOff>163105</xdr:colOff>
      <xdr:row>37</xdr:row>
      <xdr:rowOff>70511</xdr:rowOff>
    </xdr:to>
    <xdr:graphicFrame macro="">
      <xdr:nvGraphicFramePr>
        <xdr:cNvPr id="15" name="Chart 14">
          <a:extLst>
            <a:ext uri="{FF2B5EF4-FFF2-40B4-BE49-F238E27FC236}">
              <a16:creationId xmlns:a16="http://schemas.microsoft.com/office/drawing/2014/main" id="{E6AA7FAB-C3FC-43DF-8005-736C257F5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272423</xdr:colOff>
      <xdr:row>38</xdr:row>
      <xdr:rowOff>132481</xdr:rowOff>
    </xdr:from>
    <xdr:to>
      <xdr:col>12</xdr:col>
      <xdr:colOff>160663</xdr:colOff>
      <xdr:row>50</xdr:row>
      <xdr:rowOff>58458</xdr:rowOff>
    </xdr:to>
    <xdr:graphicFrame macro="">
      <xdr:nvGraphicFramePr>
        <xdr:cNvPr id="16" name="Chart 15">
          <a:extLst>
            <a:ext uri="{FF2B5EF4-FFF2-40B4-BE49-F238E27FC236}">
              <a16:creationId xmlns:a16="http://schemas.microsoft.com/office/drawing/2014/main" id="{A3DE93A3-7525-440F-B194-77A671948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288020</xdr:colOff>
      <xdr:row>12</xdr:row>
      <xdr:rowOff>144326</xdr:rowOff>
    </xdr:from>
    <xdr:to>
      <xdr:col>20</xdr:col>
      <xdr:colOff>390890</xdr:colOff>
      <xdr:row>28</xdr:row>
      <xdr:rowOff>167549</xdr:rowOff>
    </xdr:to>
    <xdr:graphicFrame macro="">
      <xdr:nvGraphicFramePr>
        <xdr:cNvPr id="18" name="Chart 17">
          <a:extLst>
            <a:ext uri="{FF2B5EF4-FFF2-40B4-BE49-F238E27FC236}">
              <a16:creationId xmlns:a16="http://schemas.microsoft.com/office/drawing/2014/main" id="{8052DF17-044A-4E71-8230-85C701580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300236</xdr:colOff>
      <xdr:row>29</xdr:row>
      <xdr:rowOff>153497</xdr:rowOff>
    </xdr:from>
    <xdr:to>
      <xdr:col>20</xdr:col>
      <xdr:colOff>364583</xdr:colOff>
      <xdr:row>45</xdr:row>
      <xdr:rowOff>176720</xdr:rowOff>
    </xdr:to>
    <xdr:graphicFrame macro="">
      <xdr:nvGraphicFramePr>
        <xdr:cNvPr id="19" name="Chart 18">
          <a:extLst>
            <a:ext uri="{FF2B5EF4-FFF2-40B4-BE49-F238E27FC236}">
              <a16:creationId xmlns:a16="http://schemas.microsoft.com/office/drawing/2014/main" id="{31AD0FCA-2316-438D-AF42-C0216B35C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299860</xdr:colOff>
      <xdr:row>46</xdr:row>
      <xdr:rowOff>165050</xdr:rowOff>
    </xdr:from>
    <xdr:to>
      <xdr:col>20</xdr:col>
      <xdr:colOff>400783</xdr:colOff>
      <xdr:row>63</xdr:row>
      <xdr:rowOff>6844</xdr:rowOff>
    </xdr:to>
    <xdr:graphicFrame macro="">
      <xdr:nvGraphicFramePr>
        <xdr:cNvPr id="9" name="Chart 8">
          <a:extLst>
            <a:ext uri="{FF2B5EF4-FFF2-40B4-BE49-F238E27FC236}">
              <a16:creationId xmlns:a16="http://schemas.microsoft.com/office/drawing/2014/main" id="{26C5F4B8-46E4-43EE-8C5A-90D7BC0BE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272143</xdr:colOff>
      <xdr:row>51</xdr:row>
      <xdr:rowOff>89460</xdr:rowOff>
    </xdr:from>
    <xdr:to>
      <xdr:col>12</xdr:col>
      <xdr:colOff>160383</xdr:colOff>
      <xdr:row>63</xdr:row>
      <xdr:rowOff>15437</xdr:rowOff>
    </xdr:to>
    <xdr:graphicFrame macro="">
      <xdr:nvGraphicFramePr>
        <xdr:cNvPr id="21" name="Chart 20">
          <a:extLst>
            <a:ext uri="{FF2B5EF4-FFF2-40B4-BE49-F238E27FC236}">
              <a16:creationId xmlns:a16="http://schemas.microsoft.com/office/drawing/2014/main" id="{4941B67E-309B-4ADE-98A4-108F8BC0D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xdr:colOff>
      <xdr:row>76</xdr:row>
      <xdr:rowOff>69850</xdr:rowOff>
    </xdr:from>
    <xdr:to>
      <xdr:col>12</xdr:col>
      <xdr:colOff>260350</xdr:colOff>
      <xdr:row>96</xdr:row>
      <xdr:rowOff>12699</xdr:rowOff>
    </xdr:to>
    <xdr:graphicFrame macro="">
      <xdr:nvGraphicFramePr>
        <xdr:cNvPr id="6" name="Chart 5">
          <a:extLst>
            <a:ext uri="{FF2B5EF4-FFF2-40B4-BE49-F238E27FC236}">
              <a16:creationId xmlns:a16="http://schemas.microsoft.com/office/drawing/2014/main" id="{923E34F6-CE70-41FE-92D8-F4160FAC1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7723</xdr:colOff>
      <xdr:row>101</xdr:row>
      <xdr:rowOff>170724</xdr:rowOff>
    </xdr:from>
    <xdr:to>
      <xdr:col>14</xdr:col>
      <xdr:colOff>16794</xdr:colOff>
      <xdr:row>120</xdr:row>
      <xdr:rowOff>153496</xdr:rowOff>
    </xdr:to>
    <xdr:graphicFrame macro="">
      <xdr:nvGraphicFramePr>
        <xdr:cNvPr id="7" name="Chart 6">
          <a:extLst>
            <a:ext uri="{FF2B5EF4-FFF2-40B4-BE49-F238E27FC236}">
              <a16:creationId xmlns:a16="http://schemas.microsoft.com/office/drawing/2014/main" id="{05884413-225E-40BF-97A8-61CD38445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21377</xdr:colOff>
      <xdr:row>1</xdr:row>
      <xdr:rowOff>8425</xdr:rowOff>
    </xdr:from>
    <xdr:to>
      <xdr:col>10</xdr:col>
      <xdr:colOff>186099</xdr:colOff>
      <xdr:row>16</xdr:row>
      <xdr:rowOff>16724</xdr:rowOff>
    </xdr:to>
    <xdr:graphicFrame macro="">
      <xdr:nvGraphicFramePr>
        <xdr:cNvPr id="8" name="Chart 7">
          <a:extLst>
            <a:ext uri="{FF2B5EF4-FFF2-40B4-BE49-F238E27FC236}">
              <a16:creationId xmlns:a16="http://schemas.microsoft.com/office/drawing/2014/main" id="{F8968335-8340-DFAA-3C55-1D672B821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21377</xdr:colOff>
      <xdr:row>20</xdr:row>
      <xdr:rowOff>8424</xdr:rowOff>
    </xdr:from>
    <xdr:to>
      <xdr:col>10</xdr:col>
      <xdr:colOff>186099</xdr:colOff>
      <xdr:row>35</xdr:row>
      <xdr:rowOff>16723</xdr:rowOff>
    </xdr:to>
    <xdr:graphicFrame macro="">
      <xdr:nvGraphicFramePr>
        <xdr:cNvPr id="9" name="Chart 8">
          <a:extLst>
            <a:ext uri="{FF2B5EF4-FFF2-40B4-BE49-F238E27FC236}">
              <a16:creationId xmlns:a16="http://schemas.microsoft.com/office/drawing/2014/main" id="{5332A603-AE2F-37AC-AE1D-515DF05FB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15089</xdr:colOff>
      <xdr:row>40</xdr:row>
      <xdr:rowOff>2138</xdr:rowOff>
    </xdr:from>
    <xdr:to>
      <xdr:col>10</xdr:col>
      <xdr:colOff>179811</xdr:colOff>
      <xdr:row>55</xdr:row>
      <xdr:rowOff>10437</xdr:rowOff>
    </xdr:to>
    <xdr:graphicFrame macro="">
      <xdr:nvGraphicFramePr>
        <xdr:cNvPr id="10" name="Chart 9">
          <a:extLst>
            <a:ext uri="{FF2B5EF4-FFF2-40B4-BE49-F238E27FC236}">
              <a16:creationId xmlns:a16="http://schemas.microsoft.com/office/drawing/2014/main" id="{6820C303-3312-442C-A51F-9D8570151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6287</xdr:colOff>
      <xdr:row>58</xdr:row>
      <xdr:rowOff>14713</xdr:rowOff>
    </xdr:from>
    <xdr:to>
      <xdr:col>12</xdr:col>
      <xdr:colOff>309326</xdr:colOff>
      <xdr:row>73</xdr:row>
      <xdr:rowOff>23012</xdr:rowOff>
    </xdr:to>
    <xdr:graphicFrame macro="">
      <xdr:nvGraphicFramePr>
        <xdr:cNvPr id="11" name="Chart 10">
          <a:extLst>
            <a:ext uri="{FF2B5EF4-FFF2-40B4-BE49-F238E27FC236}">
              <a16:creationId xmlns:a16="http://schemas.microsoft.com/office/drawing/2014/main" id="{BE488226-AB24-F5C4-C37E-7EF38BD26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71673</xdr:colOff>
      <xdr:row>123</xdr:row>
      <xdr:rowOff>71296</xdr:rowOff>
    </xdr:from>
    <xdr:to>
      <xdr:col>11</xdr:col>
      <xdr:colOff>374713</xdr:colOff>
      <xdr:row>138</xdr:row>
      <xdr:rowOff>79595</xdr:rowOff>
    </xdr:to>
    <xdr:graphicFrame macro="">
      <xdr:nvGraphicFramePr>
        <xdr:cNvPr id="17" name="Chart 16">
          <a:extLst>
            <a:ext uri="{FF2B5EF4-FFF2-40B4-BE49-F238E27FC236}">
              <a16:creationId xmlns:a16="http://schemas.microsoft.com/office/drawing/2014/main" id="{71F20E4E-9E81-3B00-E96B-1822FDCDC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COMPUTER.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3.843137962962" createdVersion="8" refreshedVersion="8" minRefreshableVersion="3" recordCount="180" xr:uid="{F0EF53CD-AF51-40B9-99CE-B9A0B459FB33}">
  <cacheSource type="worksheet">
    <worksheetSource ref="A1:L181" sheet="Cleaned"/>
  </cacheSource>
  <cacheFields count="12">
    <cacheField name="Student ID" numFmtId="1">
      <sharedItems containsSemiMixedTypes="0" containsString="0" containsNumber="1" containsInteger="1" minValue="1" maxValue="180"/>
    </cacheField>
    <cacheField name="Name" numFmtId="49">
      <sharedItems/>
    </cacheField>
    <cacheField name="Gender" numFmtId="49">
      <sharedItems count="2">
        <s v="Male"/>
        <s v="Female"/>
      </sharedItems>
    </cacheField>
    <cacheField name="Age" numFmtId="1">
      <sharedItems containsSemiMixedTypes="0" containsString="0" containsNumber="1" containsInteger="1" minValue="20" maxValue="37" count="9">
        <n v="21"/>
        <n v="20"/>
        <n v="22"/>
        <n v="23"/>
        <n v="35"/>
        <n v="33"/>
        <n v="37"/>
        <n v="29"/>
        <n v="31"/>
      </sharedItems>
    </cacheField>
    <cacheField name="GPA" numFmtId="164">
      <sharedItems containsSemiMixedTypes="0" containsString="0" containsNumber="1" minValue="3.2" maxValue="3.9" count="8">
        <n v="3.5"/>
        <n v="3.2"/>
        <n v="3.8"/>
        <n v="3.7"/>
        <n v="3.4"/>
        <n v="3.9"/>
        <n v="3.6"/>
        <n v="3.3"/>
      </sharedItems>
    </cacheField>
    <cacheField name="Major" numFmtId="49">
      <sharedItems count="1">
        <s v="Computer Science"/>
      </sharedItems>
    </cacheField>
    <cacheField name="Interested Domain" numFmtId="49">
      <sharedItems count="27">
        <s v="Artificial Intelligence"/>
        <s v="Data Science"/>
        <s v="Software Development"/>
        <s v="Web Development"/>
        <s v="Cybersecurity"/>
        <s v="Machine Learning"/>
        <s v="Database Management"/>
        <s v="Cloud Computing"/>
        <s v="Mobile App Development"/>
        <s v="Computer Graphics"/>
        <s v="Software Engineering"/>
        <s v="Network Security"/>
        <s v="Game Development"/>
        <s v="Computer Vision"/>
        <s v="Bioinformatics"/>
        <s v="IoT (Internet of Things)"/>
        <s v="Natural Language Processing"/>
        <s v="Data Mining"/>
        <s v="Human-Computer Interaction"/>
        <s v="Biomedical Computing"/>
        <s v="Quantum Computing"/>
        <s v="Blockchain Technology"/>
        <s v="Information Retrieval"/>
        <s v="Data Privacy"/>
        <s v="Geographic Information Systems"/>
        <s v="Distributed Systems"/>
        <s v="Digital Forensics"/>
      </sharedItems>
    </cacheField>
    <cacheField name="Projects" numFmtId="49">
      <sharedItems count="65">
        <s v="Chatbot Development"/>
        <s v="Data Analytics"/>
        <s v="E-commerce Website"/>
        <s v="Full-Stack Web App"/>
        <s v="Network Security"/>
        <s v="Image Recognition"/>
        <s v="SQL Query Optimization"/>
        <s v="AWS Deployment"/>
        <s v="Android App"/>
        <s v="3D Rendering"/>
        <s v="Natural Language Processing"/>
        <s v="iOS App"/>
        <s v="Game Development"/>
        <s v="GCP Deployment"/>
        <s v="Social Media Platform"/>
        <s v="iOS Game"/>
        <s v="3D Animation"/>
        <s v="Machine Learning"/>
        <s v="Android Game"/>
        <s v="3D Modeling"/>
        <s v="Firewall Management"/>
        <s v="Deep Learning Models"/>
        <s v="Data Warehouse Design"/>
        <s v="Embedded Systems"/>
        <s v="Front-End Development"/>
        <s v="Statistical Analysis"/>
        <s v="Robotics"/>
        <s v="Mobile Game Development"/>
        <s v="Penetration Testing"/>
        <s v="Object Detection"/>
        <s v="DevOps"/>
        <s v="Genomic Data Analysis"/>
        <s v="Smart Home Automation"/>
        <s v="Market Analysis"/>
        <s v="Cloud Migration Specialist"/>
        <s v="Usability Testing"/>
        <s v="Medical Imaging Analysis"/>
        <s v="Quantum Algorithm Development"/>
        <s v="Virtual Reality Development"/>
        <s v="Smart Contracts Developer"/>
        <s v="Search Engine Optimization"/>
        <s v="Privacy Compliance Officer"/>
        <s v="GIS Mapping"/>
        <s v="Distributed Systems Architect"/>
        <s v="Computer Forensic Analyst"/>
        <s v="Protein Structure Prediction"/>
        <s v="User Experience Researcher"/>
        <s v="Healthcare Data Analyst"/>
        <s v="Neural Network Development"/>
        <s v="Big Data Analytics"/>
        <s v="Mobile App Development"/>
        <s v="Image Classification"/>
        <s v="SQL Database Design"/>
        <s v="Cloud Infrastructure Management"/>
        <s v="iOS App Development"/>
        <s v="Android App Development"/>
        <s v="Enterprise Software Development"/>
        <s v="Computer Vision"/>
        <s v="Web Application Development"/>
        <s v="Security Auditing"/>
        <s v="SQL Database Administration"/>
        <s v="Cloud Solution Architecture"/>
        <s v="Cross-Platform App Development"/>
        <s v="Reinforcement Learning"/>
        <s v="Data Mining"/>
      </sharedItems>
    </cacheField>
    <cacheField name="Future Career" numFmtId="49">
      <sharedItems count="33">
        <s v="Machine Learning Researcher"/>
        <s v="Data Scientist"/>
        <s v="Software Engineer"/>
        <s v="Web Developer"/>
        <s v="Information Security Analyst"/>
        <s v="Machine Learning Engineer"/>
        <s v="Database Administrator"/>
        <s v="Cloud Solutions Architect"/>
        <s v="Mobile App Developer"/>
        <s v="Graphics Programmer"/>
        <s v="NLP Research Scientist"/>
        <s v="Game Developer"/>
        <s v="Security Analyst"/>
        <s v="Embedded Software Engineer"/>
        <s v="Data Analyst"/>
        <s v="Robotics Engineer"/>
        <s v="Ethical Hacker"/>
        <s v="Computer Vision Engineer"/>
        <s v="DevOps Engineer"/>
        <s v="Bioinformatician"/>
        <s v="IoT Developer"/>
        <s v="NLP Engineer"/>
        <s v="UX Designer"/>
        <s v="Healthcare IT Specialist"/>
        <s v="Quantum Computing Researcher"/>
        <s v="VR Developer"/>
        <s v="Blockchain Engineer"/>
        <s v="SEO Specialist"/>
        <s v="Data Privacy Specialist"/>
        <s v="Geospatial Analyst"/>
        <s v="Distributed Systems Engineer"/>
        <s v="Digital Forensics Specialist"/>
        <s v="AI Researcher"/>
      </sharedItems>
    </cacheField>
    <cacheField name="Python" numFmtId="49">
      <sharedItems count="3">
        <s v="Strong"/>
        <s v="Average"/>
        <s v="Weak"/>
      </sharedItems>
    </cacheField>
    <cacheField name="SQL" numFmtId="49">
      <sharedItems count="3">
        <s v="Strong"/>
        <s v="Weak"/>
        <s v="Average"/>
      </sharedItems>
    </cacheField>
    <cacheField name="Java" numFmtId="49">
      <sharedItems count="3">
        <s v="Weak"/>
        <s v="Average"/>
        <s v="Strong"/>
      </sharedItems>
    </cacheField>
  </cacheFields>
  <extLst>
    <ext xmlns:x14="http://schemas.microsoft.com/office/spreadsheetml/2009/9/main" uri="{725AE2AE-9491-48be-B2B4-4EB974FC3084}">
      <x14:pivotCacheDefinition pivotCacheId="1143629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4.975851620373" createdVersion="8" refreshedVersion="8" minRefreshableVersion="3" recordCount="180" xr:uid="{6B3EF051-A05B-4030-8F0B-0E5E0FA461CE}">
  <cacheSource type="worksheet">
    <worksheetSource ref="A1:O181" sheet="Cleaned"/>
  </cacheSource>
  <cacheFields count="16">
    <cacheField name="Student_ID" numFmtId="1">
      <sharedItems containsSemiMixedTypes="0" containsString="0" containsNumber="1" containsInteger="1" minValue="1" maxValue="180"/>
    </cacheField>
    <cacheField name="Name" numFmtId="49">
      <sharedItems/>
    </cacheField>
    <cacheField name="Gender" numFmtId="49">
      <sharedItems/>
    </cacheField>
    <cacheField name="Age" numFmtId="1">
      <sharedItems containsSemiMixedTypes="0" containsString="0" containsNumber="1" containsInteger="1" minValue="20" maxValue="37"/>
    </cacheField>
    <cacheField name="GPA" numFmtId="164">
      <sharedItems containsSemiMixedTypes="0" containsString="0" containsNumber="1" minValue="3.2" maxValue="3.9"/>
    </cacheField>
    <cacheField name="Major" numFmtId="49">
      <sharedItems/>
    </cacheField>
    <cacheField name="Interested_Domain" numFmtId="49">
      <sharedItems/>
    </cacheField>
    <cacheField name="Projects" numFmtId="49">
      <sharedItems/>
    </cacheField>
    <cacheField name="Future_Career" numFmtId="49">
      <sharedItems count="33">
        <s v="Machine Learning Researcher"/>
        <s v="Data Scientist"/>
        <s v="Software Engineer"/>
        <s v="Web Developer"/>
        <s v="Information Security Analyst"/>
        <s v="Machine Learning Engineer"/>
        <s v="Database Administrator"/>
        <s v="Cloud Solutions Architect"/>
        <s v="Mobile App Developer"/>
        <s v="Graphics Programmer"/>
        <s v="NLP Research Scientist"/>
        <s v="Game Developer"/>
        <s v="Security Analyst"/>
        <s v="Embedded Software Engineer"/>
        <s v="Data Analyst"/>
        <s v="Robotics Engineer"/>
        <s v="Ethical Hacker"/>
        <s v="Computer Vision Engineer"/>
        <s v="DevOps Engineer"/>
        <s v="Bioinformatician"/>
        <s v="IoT Developer"/>
        <s v="NLP Engineer"/>
        <s v="UX Designer"/>
        <s v="Healthcare IT Specialist"/>
        <s v="Quantum Computing Researcher"/>
        <s v="VR Developer"/>
        <s v="Blockchain Engineer"/>
        <s v="SEO Specialist"/>
        <s v="Data Privacy Specialist"/>
        <s v="Geospatial Analyst"/>
        <s v="Distributed Systems Engineer"/>
        <s v="Digital Forensics Specialist"/>
        <s v="AI Researcher"/>
      </sharedItems>
    </cacheField>
    <cacheField name="Python" numFmtId="49">
      <sharedItems/>
    </cacheField>
    <cacheField name="SQL" numFmtId="49">
      <sharedItems/>
    </cacheField>
    <cacheField name="Java" numFmtId="49">
      <sharedItems/>
    </cacheField>
    <cacheField name="Total_Population" numFmtId="0">
      <sharedItems containsString="0" containsBlank="1" containsNumber="1" containsInteger="1" minValue="180" maxValue="180"/>
    </cacheField>
    <cacheField name="Average_GPA" numFmtId="0">
      <sharedItems containsString="0" containsBlank="1" containsNumber="1" minValue="3.615000000000002" maxValue="3.615000000000002"/>
    </cacheField>
    <cacheField name="Percentage_Strong_Python" numFmtId="0">
      <sharedItems containsString="0" containsBlank="1" containsNumber="1" minValue="0.3888888888888889" maxValue="0.3888888888888889"/>
    </cacheField>
    <cacheField name="Most_Project_Completed"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9.537517013887" createdVersion="8" refreshedVersion="8" minRefreshableVersion="3" recordCount="180" xr:uid="{ADC73EC4-245D-4681-9549-3CA402156DC2}">
  <cacheSource type="worksheet">
    <worksheetSource ref="A1:M181" sheet="Sheet1" r:id="rId2"/>
  </cacheSource>
  <cacheFields count="13">
    <cacheField name="Student_ID" numFmtId="1">
      <sharedItems containsSemiMixedTypes="0" containsString="0" containsNumber="1" containsInteger="1" minValue="1" maxValue="180"/>
    </cacheField>
    <cacheField name="Name" numFmtId="49">
      <sharedItems/>
    </cacheField>
    <cacheField name="Gender" numFmtId="49">
      <sharedItems count="2">
        <s v="Male"/>
        <s v="Female"/>
      </sharedItems>
    </cacheField>
    <cacheField name="Age" numFmtId="1">
      <sharedItems containsSemiMixedTypes="0" containsString="0" containsNumber="1" containsInteger="1" minValue="20" maxValue="37" count="9">
        <n v="21"/>
        <n v="20"/>
        <n v="22"/>
        <n v="23"/>
        <n v="35"/>
        <n v="33"/>
        <n v="37"/>
        <n v="29"/>
        <n v="31"/>
      </sharedItems>
      <fieldGroup base="3">
        <rangePr startNum="20" endNum="37" groupInterval="5"/>
        <groupItems count="6">
          <s v="&lt;20"/>
          <s v="20-24"/>
          <s v="25-29"/>
          <s v="30-34"/>
          <s v="35-39"/>
          <s v="&gt;40"/>
        </groupItems>
      </fieldGroup>
    </cacheField>
    <cacheField name="GPA" numFmtId="164">
      <sharedItems containsSemiMixedTypes="0" containsString="0" containsNumber="1" minValue="3.2" maxValue="3.9"/>
    </cacheField>
    <cacheField name="Grade" numFmtId="164">
      <sharedItems count="2">
        <s v="A"/>
        <s v="B"/>
      </sharedItems>
    </cacheField>
    <cacheField name="Major" numFmtId="49">
      <sharedItems/>
    </cacheField>
    <cacheField name="Interested_Domain" numFmtId="49">
      <sharedItems count="27">
        <s v="Artificial Intelligence"/>
        <s v="Data Science"/>
        <s v="Software Development"/>
        <s v="Web Development"/>
        <s v="Cybersecurity"/>
        <s v="Machine Learning"/>
        <s v="Database Management"/>
        <s v="Cloud Computing"/>
        <s v="Mobile App Development"/>
        <s v="Computer Graphics"/>
        <s v="Software Engineering"/>
        <s v="Network Security"/>
        <s v="Game Development"/>
        <s v="Computer Vision"/>
        <s v="Bioinformatics"/>
        <s v="IoT (Internet of Things)"/>
        <s v="Natural Language Processing"/>
        <s v="Data Mining"/>
        <s v="Human-Computer Interaction"/>
        <s v="Biomedical Computing"/>
        <s v="Quantum Computing"/>
        <s v="Blockchain Technology"/>
        <s v="Information Retrieval"/>
        <s v="Data Privacy"/>
        <s v="Geographic Information Systems"/>
        <s v="Distributed Systems"/>
        <s v="Digital Forensics"/>
      </sharedItems>
    </cacheField>
    <cacheField name="Projects" numFmtId="49">
      <sharedItems/>
    </cacheField>
    <cacheField name="Future_Career" numFmtId="49">
      <sharedItems count="33">
        <s v="Machine Learning Researcher"/>
        <s v="Data Scientist"/>
        <s v="Software Engineer"/>
        <s v="Web Developer"/>
        <s v="Information Security Analyst"/>
        <s v="Machine Learning Engineer"/>
        <s v="Database Administrator"/>
        <s v="Cloud Solutions Architect"/>
        <s v="Mobile App Developer"/>
        <s v="Graphics Programmer"/>
        <s v="NLP Research Scientist"/>
        <s v="Game Developer"/>
        <s v="Security Analyst"/>
        <s v="Embedded Software Engineer"/>
        <s v="Data Analyst"/>
        <s v="Robotics Engineer"/>
        <s v="Ethical Hacker"/>
        <s v="Computer Vision Engineer"/>
        <s v="DevOps Engineer"/>
        <s v="Bioinformatician"/>
        <s v="IoT Developer"/>
        <s v="NLP Engineer"/>
        <s v="UX Designer"/>
        <s v="Healthcare IT Specialist"/>
        <s v="Quantum Computing Researcher"/>
        <s v="VR Developer"/>
        <s v="Blockchain Engineer"/>
        <s v="SEO Specialist"/>
        <s v="Data Privacy Specialist"/>
        <s v="Geospatial Analyst"/>
        <s v="Distributed Systems Engineer"/>
        <s v="Digital Forensics Specialist"/>
        <s v="AI Researcher"/>
      </sharedItems>
    </cacheField>
    <cacheField name="Python" numFmtId="49">
      <sharedItems count="3">
        <s v="Strong"/>
        <s v="Average"/>
        <s v="Weak"/>
      </sharedItems>
    </cacheField>
    <cacheField name="SQL" numFmtId="49">
      <sharedItems count="3">
        <s v="Strong"/>
        <s v="Weak"/>
        <s v="Average"/>
      </sharedItems>
    </cacheField>
    <cacheField name="Java" numFmtId="49">
      <sharedItems count="3">
        <s v="Weak"/>
        <s v="Average"/>
        <s v="Strong"/>
      </sharedItems>
    </cacheField>
  </cacheFields>
  <extLst>
    <ext xmlns:x14="http://schemas.microsoft.com/office/spreadsheetml/2009/9/main" uri="{725AE2AE-9491-48be-B2B4-4EB974FC3084}">
      <x14:pivotCacheDefinition pivotCacheId="9345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
    <s v="John Smith"/>
    <x v="0"/>
    <x v="0"/>
    <x v="0"/>
    <x v="0"/>
    <x v="0"/>
    <x v="0"/>
    <x v="0"/>
    <x v="0"/>
    <x v="0"/>
    <x v="0"/>
  </r>
  <r>
    <n v="2"/>
    <s v="Alice Johnson"/>
    <x v="1"/>
    <x v="1"/>
    <x v="1"/>
    <x v="0"/>
    <x v="1"/>
    <x v="1"/>
    <x v="1"/>
    <x v="1"/>
    <x v="0"/>
    <x v="0"/>
  </r>
  <r>
    <n v="3"/>
    <s v="Robert Davis"/>
    <x v="0"/>
    <x v="2"/>
    <x v="2"/>
    <x v="0"/>
    <x v="2"/>
    <x v="2"/>
    <x v="2"/>
    <x v="0"/>
    <x v="0"/>
    <x v="1"/>
  </r>
  <r>
    <n v="4"/>
    <s v="Emily Wilson"/>
    <x v="1"/>
    <x v="0"/>
    <x v="3"/>
    <x v="0"/>
    <x v="3"/>
    <x v="3"/>
    <x v="3"/>
    <x v="2"/>
    <x v="0"/>
    <x v="2"/>
  </r>
  <r>
    <n v="5"/>
    <s v="Michael Brown"/>
    <x v="0"/>
    <x v="3"/>
    <x v="4"/>
    <x v="0"/>
    <x v="4"/>
    <x v="4"/>
    <x v="4"/>
    <x v="1"/>
    <x v="1"/>
    <x v="2"/>
  </r>
  <r>
    <n v="6"/>
    <s v="Laura Lee"/>
    <x v="1"/>
    <x v="2"/>
    <x v="5"/>
    <x v="0"/>
    <x v="5"/>
    <x v="5"/>
    <x v="5"/>
    <x v="0"/>
    <x v="2"/>
    <x v="0"/>
  </r>
  <r>
    <n v="7"/>
    <s v="William Johnson"/>
    <x v="0"/>
    <x v="1"/>
    <x v="6"/>
    <x v="0"/>
    <x v="6"/>
    <x v="6"/>
    <x v="6"/>
    <x v="1"/>
    <x v="0"/>
    <x v="0"/>
  </r>
  <r>
    <n v="8"/>
    <s v="Sarah Miller"/>
    <x v="1"/>
    <x v="0"/>
    <x v="3"/>
    <x v="0"/>
    <x v="7"/>
    <x v="7"/>
    <x v="7"/>
    <x v="2"/>
    <x v="0"/>
    <x v="1"/>
  </r>
  <r>
    <n v="9"/>
    <s v="James Wilson"/>
    <x v="0"/>
    <x v="3"/>
    <x v="7"/>
    <x v="0"/>
    <x v="8"/>
    <x v="8"/>
    <x v="8"/>
    <x v="1"/>
    <x v="1"/>
    <x v="2"/>
  </r>
  <r>
    <n v="10"/>
    <s v="Olivia Clark"/>
    <x v="1"/>
    <x v="2"/>
    <x v="0"/>
    <x v="0"/>
    <x v="9"/>
    <x v="9"/>
    <x v="9"/>
    <x v="2"/>
    <x v="2"/>
    <x v="2"/>
  </r>
  <r>
    <n v="11"/>
    <s v="Andrew Hall"/>
    <x v="0"/>
    <x v="0"/>
    <x v="2"/>
    <x v="0"/>
    <x v="0"/>
    <x v="10"/>
    <x v="10"/>
    <x v="0"/>
    <x v="2"/>
    <x v="0"/>
  </r>
  <r>
    <n v="12"/>
    <s v="David Jones"/>
    <x v="0"/>
    <x v="2"/>
    <x v="3"/>
    <x v="0"/>
    <x v="3"/>
    <x v="3"/>
    <x v="3"/>
    <x v="0"/>
    <x v="0"/>
    <x v="1"/>
  </r>
  <r>
    <n v="13"/>
    <s v="Elizabeth Williams"/>
    <x v="1"/>
    <x v="0"/>
    <x v="7"/>
    <x v="0"/>
    <x v="8"/>
    <x v="11"/>
    <x v="8"/>
    <x v="1"/>
    <x v="1"/>
    <x v="2"/>
  </r>
  <r>
    <n v="14"/>
    <s v="Charles Miller"/>
    <x v="0"/>
    <x v="3"/>
    <x v="0"/>
    <x v="0"/>
    <x v="9"/>
    <x v="12"/>
    <x v="11"/>
    <x v="2"/>
    <x v="2"/>
    <x v="2"/>
  </r>
  <r>
    <n v="15"/>
    <s v="Susan Davis"/>
    <x v="1"/>
    <x v="2"/>
    <x v="2"/>
    <x v="0"/>
    <x v="10"/>
    <x v="2"/>
    <x v="2"/>
    <x v="0"/>
    <x v="0"/>
    <x v="1"/>
  </r>
  <r>
    <n v="16"/>
    <s v="John Brown"/>
    <x v="0"/>
    <x v="1"/>
    <x v="6"/>
    <x v="0"/>
    <x v="4"/>
    <x v="4"/>
    <x v="4"/>
    <x v="1"/>
    <x v="1"/>
    <x v="2"/>
  </r>
  <r>
    <n v="17"/>
    <s v="Laura Lee"/>
    <x v="1"/>
    <x v="0"/>
    <x v="5"/>
    <x v="0"/>
    <x v="5"/>
    <x v="5"/>
    <x v="5"/>
    <x v="0"/>
    <x v="2"/>
    <x v="0"/>
  </r>
  <r>
    <n v="18"/>
    <s v="William Johnson"/>
    <x v="0"/>
    <x v="3"/>
    <x v="6"/>
    <x v="0"/>
    <x v="6"/>
    <x v="6"/>
    <x v="6"/>
    <x v="1"/>
    <x v="0"/>
    <x v="0"/>
  </r>
  <r>
    <n v="19"/>
    <s v="Sarah Miller"/>
    <x v="1"/>
    <x v="2"/>
    <x v="3"/>
    <x v="0"/>
    <x v="7"/>
    <x v="7"/>
    <x v="7"/>
    <x v="2"/>
    <x v="0"/>
    <x v="1"/>
  </r>
  <r>
    <n v="20"/>
    <s v="James Wilson"/>
    <x v="0"/>
    <x v="1"/>
    <x v="7"/>
    <x v="0"/>
    <x v="8"/>
    <x v="8"/>
    <x v="8"/>
    <x v="1"/>
    <x v="1"/>
    <x v="2"/>
  </r>
  <r>
    <n v="21"/>
    <s v="Olivia Clark"/>
    <x v="1"/>
    <x v="0"/>
    <x v="0"/>
    <x v="0"/>
    <x v="9"/>
    <x v="9"/>
    <x v="9"/>
    <x v="2"/>
    <x v="2"/>
    <x v="2"/>
  </r>
  <r>
    <n v="22"/>
    <s v="Andrew Hall"/>
    <x v="0"/>
    <x v="3"/>
    <x v="2"/>
    <x v="0"/>
    <x v="0"/>
    <x v="10"/>
    <x v="10"/>
    <x v="0"/>
    <x v="2"/>
    <x v="0"/>
  </r>
  <r>
    <n v="23"/>
    <s v="David Jones"/>
    <x v="0"/>
    <x v="2"/>
    <x v="3"/>
    <x v="0"/>
    <x v="3"/>
    <x v="3"/>
    <x v="3"/>
    <x v="0"/>
    <x v="0"/>
    <x v="1"/>
  </r>
  <r>
    <n v="24"/>
    <s v="Elizabeth Williams"/>
    <x v="1"/>
    <x v="0"/>
    <x v="7"/>
    <x v="0"/>
    <x v="8"/>
    <x v="11"/>
    <x v="8"/>
    <x v="1"/>
    <x v="1"/>
    <x v="2"/>
  </r>
  <r>
    <n v="25"/>
    <s v="Charles Miller"/>
    <x v="0"/>
    <x v="3"/>
    <x v="0"/>
    <x v="0"/>
    <x v="9"/>
    <x v="12"/>
    <x v="11"/>
    <x v="2"/>
    <x v="2"/>
    <x v="2"/>
  </r>
  <r>
    <n v="26"/>
    <s v="Susan Davis"/>
    <x v="1"/>
    <x v="2"/>
    <x v="2"/>
    <x v="0"/>
    <x v="10"/>
    <x v="2"/>
    <x v="2"/>
    <x v="0"/>
    <x v="0"/>
    <x v="1"/>
  </r>
  <r>
    <n v="27"/>
    <s v="John Brown"/>
    <x v="0"/>
    <x v="1"/>
    <x v="6"/>
    <x v="0"/>
    <x v="4"/>
    <x v="4"/>
    <x v="4"/>
    <x v="1"/>
    <x v="1"/>
    <x v="2"/>
  </r>
  <r>
    <n v="28"/>
    <s v="Laura Lee"/>
    <x v="1"/>
    <x v="0"/>
    <x v="5"/>
    <x v="0"/>
    <x v="5"/>
    <x v="5"/>
    <x v="5"/>
    <x v="0"/>
    <x v="2"/>
    <x v="0"/>
  </r>
  <r>
    <n v="29"/>
    <s v="William Johnson"/>
    <x v="0"/>
    <x v="3"/>
    <x v="6"/>
    <x v="0"/>
    <x v="6"/>
    <x v="6"/>
    <x v="6"/>
    <x v="1"/>
    <x v="0"/>
    <x v="0"/>
  </r>
  <r>
    <n v="30"/>
    <s v="Sarah Miller"/>
    <x v="1"/>
    <x v="2"/>
    <x v="3"/>
    <x v="0"/>
    <x v="7"/>
    <x v="7"/>
    <x v="7"/>
    <x v="2"/>
    <x v="0"/>
    <x v="1"/>
  </r>
  <r>
    <n v="31"/>
    <s v="James Wilson"/>
    <x v="0"/>
    <x v="1"/>
    <x v="7"/>
    <x v="0"/>
    <x v="8"/>
    <x v="8"/>
    <x v="8"/>
    <x v="1"/>
    <x v="1"/>
    <x v="2"/>
  </r>
  <r>
    <n v="32"/>
    <s v="Olivia Clark"/>
    <x v="1"/>
    <x v="0"/>
    <x v="0"/>
    <x v="0"/>
    <x v="9"/>
    <x v="9"/>
    <x v="9"/>
    <x v="2"/>
    <x v="2"/>
    <x v="2"/>
  </r>
  <r>
    <n v="33"/>
    <s v="Andrew Hall"/>
    <x v="0"/>
    <x v="3"/>
    <x v="2"/>
    <x v="0"/>
    <x v="0"/>
    <x v="10"/>
    <x v="10"/>
    <x v="0"/>
    <x v="2"/>
    <x v="0"/>
  </r>
  <r>
    <n v="34"/>
    <s v="David Jones"/>
    <x v="0"/>
    <x v="2"/>
    <x v="3"/>
    <x v="0"/>
    <x v="3"/>
    <x v="3"/>
    <x v="3"/>
    <x v="0"/>
    <x v="0"/>
    <x v="1"/>
  </r>
  <r>
    <n v="35"/>
    <s v="Elizabeth Williams"/>
    <x v="1"/>
    <x v="0"/>
    <x v="7"/>
    <x v="0"/>
    <x v="8"/>
    <x v="11"/>
    <x v="8"/>
    <x v="1"/>
    <x v="1"/>
    <x v="2"/>
  </r>
  <r>
    <n v="36"/>
    <s v="Charles Miller"/>
    <x v="0"/>
    <x v="3"/>
    <x v="0"/>
    <x v="0"/>
    <x v="9"/>
    <x v="12"/>
    <x v="11"/>
    <x v="2"/>
    <x v="2"/>
    <x v="2"/>
  </r>
  <r>
    <n v="37"/>
    <s v="Susan Davis"/>
    <x v="1"/>
    <x v="2"/>
    <x v="2"/>
    <x v="0"/>
    <x v="10"/>
    <x v="2"/>
    <x v="2"/>
    <x v="0"/>
    <x v="0"/>
    <x v="1"/>
  </r>
  <r>
    <n v="38"/>
    <s v="John Brown"/>
    <x v="0"/>
    <x v="1"/>
    <x v="6"/>
    <x v="0"/>
    <x v="4"/>
    <x v="4"/>
    <x v="4"/>
    <x v="1"/>
    <x v="1"/>
    <x v="2"/>
  </r>
  <r>
    <n v="39"/>
    <s v="Laura Lee"/>
    <x v="1"/>
    <x v="0"/>
    <x v="5"/>
    <x v="0"/>
    <x v="5"/>
    <x v="5"/>
    <x v="5"/>
    <x v="0"/>
    <x v="2"/>
    <x v="0"/>
  </r>
  <r>
    <n v="40"/>
    <s v="Jessica Jones"/>
    <x v="1"/>
    <x v="2"/>
    <x v="6"/>
    <x v="0"/>
    <x v="7"/>
    <x v="13"/>
    <x v="7"/>
    <x v="0"/>
    <x v="0"/>
    <x v="1"/>
  </r>
  <r>
    <n v="41"/>
    <s v="Peter Parker"/>
    <x v="0"/>
    <x v="1"/>
    <x v="7"/>
    <x v="0"/>
    <x v="2"/>
    <x v="14"/>
    <x v="2"/>
    <x v="1"/>
    <x v="1"/>
    <x v="2"/>
  </r>
  <r>
    <n v="42"/>
    <s v="Mary Jane Watson"/>
    <x v="1"/>
    <x v="0"/>
    <x v="3"/>
    <x v="0"/>
    <x v="3"/>
    <x v="2"/>
    <x v="3"/>
    <x v="2"/>
    <x v="0"/>
    <x v="2"/>
  </r>
  <r>
    <n v="43"/>
    <s v="Harry Osborn"/>
    <x v="0"/>
    <x v="3"/>
    <x v="0"/>
    <x v="0"/>
    <x v="8"/>
    <x v="15"/>
    <x v="8"/>
    <x v="1"/>
    <x v="1"/>
    <x v="2"/>
  </r>
  <r>
    <n v="44"/>
    <s v="Gwen Stacy"/>
    <x v="1"/>
    <x v="2"/>
    <x v="2"/>
    <x v="0"/>
    <x v="9"/>
    <x v="16"/>
    <x v="9"/>
    <x v="2"/>
    <x v="2"/>
    <x v="2"/>
  </r>
  <r>
    <n v="45"/>
    <s v="Eddie Brock"/>
    <x v="0"/>
    <x v="0"/>
    <x v="6"/>
    <x v="0"/>
    <x v="0"/>
    <x v="10"/>
    <x v="10"/>
    <x v="0"/>
    <x v="2"/>
    <x v="0"/>
  </r>
  <r>
    <n v="46"/>
    <s v="Michelle Williams"/>
    <x v="1"/>
    <x v="1"/>
    <x v="7"/>
    <x v="0"/>
    <x v="1"/>
    <x v="17"/>
    <x v="1"/>
    <x v="1"/>
    <x v="0"/>
    <x v="0"/>
  </r>
  <r>
    <n v="47"/>
    <s v="Flash Thompson"/>
    <x v="0"/>
    <x v="2"/>
    <x v="3"/>
    <x v="0"/>
    <x v="4"/>
    <x v="4"/>
    <x v="4"/>
    <x v="2"/>
    <x v="0"/>
    <x v="1"/>
  </r>
  <r>
    <n v="48"/>
    <s v="Liz Allan"/>
    <x v="1"/>
    <x v="0"/>
    <x v="0"/>
    <x v="0"/>
    <x v="6"/>
    <x v="6"/>
    <x v="6"/>
    <x v="1"/>
    <x v="1"/>
    <x v="2"/>
  </r>
  <r>
    <n v="49"/>
    <s v="Jason Macendale"/>
    <x v="0"/>
    <x v="3"/>
    <x v="2"/>
    <x v="0"/>
    <x v="7"/>
    <x v="7"/>
    <x v="7"/>
    <x v="0"/>
    <x v="0"/>
    <x v="1"/>
  </r>
  <r>
    <n v="50"/>
    <s v="Fred Myers"/>
    <x v="0"/>
    <x v="2"/>
    <x v="6"/>
    <x v="0"/>
    <x v="2"/>
    <x v="14"/>
    <x v="2"/>
    <x v="1"/>
    <x v="1"/>
    <x v="2"/>
  </r>
  <r>
    <n v="51"/>
    <s v="Betty Brant"/>
    <x v="1"/>
    <x v="0"/>
    <x v="3"/>
    <x v="0"/>
    <x v="3"/>
    <x v="2"/>
    <x v="3"/>
    <x v="2"/>
    <x v="0"/>
    <x v="2"/>
  </r>
  <r>
    <n v="52"/>
    <s v="Ned Leeds"/>
    <x v="0"/>
    <x v="1"/>
    <x v="7"/>
    <x v="0"/>
    <x v="8"/>
    <x v="18"/>
    <x v="8"/>
    <x v="1"/>
    <x v="1"/>
    <x v="2"/>
  </r>
  <r>
    <n v="53"/>
    <s v="Silver Sable"/>
    <x v="1"/>
    <x v="2"/>
    <x v="2"/>
    <x v="0"/>
    <x v="9"/>
    <x v="19"/>
    <x v="9"/>
    <x v="2"/>
    <x v="2"/>
    <x v="2"/>
  </r>
  <r>
    <n v="54"/>
    <s v="Black Cat"/>
    <x v="1"/>
    <x v="0"/>
    <x v="6"/>
    <x v="0"/>
    <x v="0"/>
    <x v="10"/>
    <x v="10"/>
    <x v="0"/>
    <x v="2"/>
    <x v="0"/>
  </r>
  <r>
    <n v="55"/>
    <s v="Venom"/>
    <x v="0"/>
    <x v="1"/>
    <x v="7"/>
    <x v="0"/>
    <x v="1"/>
    <x v="17"/>
    <x v="1"/>
    <x v="1"/>
    <x v="0"/>
    <x v="0"/>
  </r>
  <r>
    <n v="56"/>
    <s v="Carnage"/>
    <x v="0"/>
    <x v="2"/>
    <x v="3"/>
    <x v="0"/>
    <x v="4"/>
    <x v="4"/>
    <x v="4"/>
    <x v="2"/>
    <x v="0"/>
    <x v="1"/>
  </r>
  <r>
    <n v="57"/>
    <s v="Lizard"/>
    <x v="0"/>
    <x v="0"/>
    <x v="0"/>
    <x v="0"/>
    <x v="6"/>
    <x v="6"/>
    <x v="6"/>
    <x v="1"/>
    <x v="1"/>
    <x v="2"/>
  </r>
  <r>
    <n v="58"/>
    <s v="Electro"/>
    <x v="0"/>
    <x v="3"/>
    <x v="2"/>
    <x v="0"/>
    <x v="7"/>
    <x v="7"/>
    <x v="7"/>
    <x v="0"/>
    <x v="0"/>
    <x v="1"/>
  </r>
  <r>
    <n v="59"/>
    <s v="Sandman"/>
    <x v="0"/>
    <x v="2"/>
    <x v="6"/>
    <x v="0"/>
    <x v="2"/>
    <x v="14"/>
    <x v="2"/>
    <x v="1"/>
    <x v="1"/>
    <x v="2"/>
  </r>
  <r>
    <n v="60"/>
    <s v="Mysterio"/>
    <x v="0"/>
    <x v="1"/>
    <x v="7"/>
    <x v="0"/>
    <x v="3"/>
    <x v="2"/>
    <x v="3"/>
    <x v="2"/>
    <x v="0"/>
    <x v="2"/>
  </r>
  <r>
    <n v="61"/>
    <s v="Rhino"/>
    <x v="0"/>
    <x v="0"/>
    <x v="3"/>
    <x v="0"/>
    <x v="8"/>
    <x v="18"/>
    <x v="8"/>
    <x v="1"/>
    <x v="1"/>
    <x v="2"/>
  </r>
  <r>
    <n v="62"/>
    <s v="Scorpion"/>
    <x v="0"/>
    <x v="2"/>
    <x v="0"/>
    <x v="0"/>
    <x v="9"/>
    <x v="16"/>
    <x v="9"/>
    <x v="2"/>
    <x v="2"/>
    <x v="2"/>
  </r>
  <r>
    <n v="63"/>
    <s v="Vulture"/>
    <x v="0"/>
    <x v="3"/>
    <x v="2"/>
    <x v="0"/>
    <x v="0"/>
    <x v="10"/>
    <x v="10"/>
    <x v="0"/>
    <x v="2"/>
    <x v="0"/>
  </r>
  <r>
    <n v="64"/>
    <s v="Shocker"/>
    <x v="0"/>
    <x v="1"/>
    <x v="7"/>
    <x v="0"/>
    <x v="1"/>
    <x v="17"/>
    <x v="1"/>
    <x v="1"/>
    <x v="0"/>
    <x v="0"/>
  </r>
  <r>
    <n v="65"/>
    <s v="Kraven the Hunter"/>
    <x v="0"/>
    <x v="2"/>
    <x v="3"/>
    <x v="0"/>
    <x v="4"/>
    <x v="4"/>
    <x v="4"/>
    <x v="2"/>
    <x v="0"/>
    <x v="1"/>
  </r>
  <r>
    <n v="66"/>
    <s v="Green Goblin"/>
    <x v="0"/>
    <x v="0"/>
    <x v="0"/>
    <x v="0"/>
    <x v="6"/>
    <x v="6"/>
    <x v="6"/>
    <x v="1"/>
    <x v="1"/>
    <x v="2"/>
  </r>
  <r>
    <n v="67"/>
    <s v="Doctor Octopus"/>
    <x v="0"/>
    <x v="3"/>
    <x v="2"/>
    <x v="0"/>
    <x v="7"/>
    <x v="7"/>
    <x v="7"/>
    <x v="0"/>
    <x v="0"/>
    <x v="1"/>
  </r>
  <r>
    <n v="68"/>
    <s v="Morbius"/>
    <x v="0"/>
    <x v="2"/>
    <x v="6"/>
    <x v="0"/>
    <x v="2"/>
    <x v="14"/>
    <x v="2"/>
    <x v="1"/>
    <x v="1"/>
    <x v="2"/>
  </r>
  <r>
    <n v="69"/>
    <s v="Lizard"/>
    <x v="0"/>
    <x v="1"/>
    <x v="7"/>
    <x v="0"/>
    <x v="3"/>
    <x v="2"/>
    <x v="3"/>
    <x v="2"/>
    <x v="0"/>
    <x v="2"/>
  </r>
  <r>
    <n v="70"/>
    <s v="Hydro-Man"/>
    <x v="0"/>
    <x v="0"/>
    <x v="3"/>
    <x v="0"/>
    <x v="8"/>
    <x v="18"/>
    <x v="8"/>
    <x v="1"/>
    <x v="1"/>
    <x v="2"/>
  </r>
  <r>
    <n v="71"/>
    <s v="Kingpin"/>
    <x v="0"/>
    <x v="2"/>
    <x v="0"/>
    <x v="0"/>
    <x v="9"/>
    <x v="16"/>
    <x v="9"/>
    <x v="2"/>
    <x v="2"/>
    <x v="2"/>
  </r>
  <r>
    <n v="72"/>
    <s v="Taskmaster"/>
    <x v="0"/>
    <x v="3"/>
    <x v="2"/>
    <x v="0"/>
    <x v="0"/>
    <x v="10"/>
    <x v="10"/>
    <x v="0"/>
    <x v="2"/>
    <x v="0"/>
  </r>
  <r>
    <n v="73"/>
    <s v="MODOK"/>
    <x v="0"/>
    <x v="1"/>
    <x v="7"/>
    <x v="0"/>
    <x v="1"/>
    <x v="17"/>
    <x v="1"/>
    <x v="1"/>
    <x v="0"/>
    <x v="0"/>
  </r>
  <r>
    <n v="74"/>
    <s v="AIM"/>
    <x v="0"/>
    <x v="2"/>
    <x v="3"/>
    <x v="0"/>
    <x v="4"/>
    <x v="4"/>
    <x v="4"/>
    <x v="2"/>
    <x v="0"/>
    <x v="1"/>
  </r>
  <r>
    <n v="75"/>
    <s v="Hydra"/>
    <x v="0"/>
    <x v="0"/>
    <x v="0"/>
    <x v="0"/>
    <x v="6"/>
    <x v="6"/>
    <x v="6"/>
    <x v="1"/>
    <x v="1"/>
    <x v="2"/>
  </r>
  <r>
    <n v="76"/>
    <s v="AIM"/>
    <x v="1"/>
    <x v="2"/>
    <x v="3"/>
    <x v="0"/>
    <x v="4"/>
    <x v="4"/>
    <x v="4"/>
    <x v="2"/>
    <x v="0"/>
    <x v="1"/>
  </r>
  <r>
    <n v="77"/>
    <s v="Agent Coulson"/>
    <x v="0"/>
    <x v="4"/>
    <x v="5"/>
    <x v="0"/>
    <x v="7"/>
    <x v="7"/>
    <x v="7"/>
    <x v="0"/>
    <x v="0"/>
    <x v="1"/>
  </r>
  <r>
    <n v="78"/>
    <s v="Agent Hill"/>
    <x v="1"/>
    <x v="5"/>
    <x v="2"/>
    <x v="0"/>
    <x v="4"/>
    <x v="4"/>
    <x v="4"/>
    <x v="2"/>
    <x v="0"/>
    <x v="1"/>
  </r>
  <r>
    <n v="79"/>
    <s v="Agent Melinda May"/>
    <x v="1"/>
    <x v="6"/>
    <x v="3"/>
    <x v="0"/>
    <x v="6"/>
    <x v="6"/>
    <x v="6"/>
    <x v="1"/>
    <x v="1"/>
    <x v="2"/>
  </r>
  <r>
    <n v="80"/>
    <s v="Agent Daisy Johnson"/>
    <x v="1"/>
    <x v="7"/>
    <x v="6"/>
    <x v="0"/>
    <x v="8"/>
    <x v="18"/>
    <x v="8"/>
    <x v="0"/>
    <x v="2"/>
    <x v="2"/>
  </r>
  <r>
    <n v="81"/>
    <s v="Agent Simmons"/>
    <x v="1"/>
    <x v="8"/>
    <x v="0"/>
    <x v="0"/>
    <x v="3"/>
    <x v="2"/>
    <x v="3"/>
    <x v="2"/>
    <x v="0"/>
    <x v="2"/>
  </r>
  <r>
    <n v="82"/>
    <s v="Agent Fitz"/>
    <x v="0"/>
    <x v="4"/>
    <x v="5"/>
    <x v="0"/>
    <x v="2"/>
    <x v="14"/>
    <x v="2"/>
    <x v="1"/>
    <x v="1"/>
    <x v="2"/>
  </r>
  <r>
    <n v="83"/>
    <s v="Agent Mack"/>
    <x v="0"/>
    <x v="6"/>
    <x v="2"/>
    <x v="0"/>
    <x v="9"/>
    <x v="16"/>
    <x v="9"/>
    <x v="2"/>
    <x v="2"/>
    <x v="2"/>
  </r>
  <r>
    <n v="84"/>
    <s v="Agent Bobbi Morse"/>
    <x v="1"/>
    <x v="7"/>
    <x v="3"/>
    <x v="0"/>
    <x v="0"/>
    <x v="10"/>
    <x v="10"/>
    <x v="0"/>
    <x v="2"/>
    <x v="0"/>
  </r>
  <r>
    <n v="85"/>
    <s v="Agent Lance Hunter"/>
    <x v="0"/>
    <x v="5"/>
    <x v="6"/>
    <x v="0"/>
    <x v="1"/>
    <x v="17"/>
    <x v="1"/>
    <x v="1"/>
    <x v="0"/>
    <x v="0"/>
  </r>
  <r>
    <n v="86"/>
    <s v="Oliver Davis"/>
    <x v="0"/>
    <x v="2"/>
    <x v="3"/>
    <x v="0"/>
    <x v="11"/>
    <x v="20"/>
    <x v="12"/>
    <x v="0"/>
    <x v="2"/>
    <x v="0"/>
  </r>
  <r>
    <n v="87"/>
    <s v="Ava Miller"/>
    <x v="1"/>
    <x v="0"/>
    <x v="6"/>
    <x v="0"/>
    <x v="5"/>
    <x v="21"/>
    <x v="5"/>
    <x v="0"/>
    <x v="2"/>
    <x v="0"/>
  </r>
  <r>
    <n v="88"/>
    <s v="Liam Wilson"/>
    <x v="0"/>
    <x v="3"/>
    <x v="2"/>
    <x v="0"/>
    <x v="6"/>
    <x v="22"/>
    <x v="6"/>
    <x v="1"/>
    <x v="0"/>
    <x v="0"/>
  </r>
  <r>
    <n v="89"/>
    <s v="Sophia Johnson"/>
    <x v="1"/>
    <x v="2"/>
    <x v="0"/>
    <x v="0"/>
    <x v="2"/>
    <x v="23"/>
    <x v="13"/>
    <x v="2"/>
    <x v="0"/>
    <x v="1"/>
  </r>
  <r>
    <n v="90"/>
    <s v="Michael Brown"/>
    <x v="0"/>
    <x v="0"/>
    <x v="5"/>
    <x v="0"/>
    <x v="3"/>
    <x v="24"/>
    <x v="3"/>
    <x v="0"/>
    <x v="2"/>
    <x v="0"/>
  </r>
  <r>
    <n v="91"/>
    <s v="Emily Lee"/>
    <x v="1"/>
    <x v="1"/>
    <x v="3"/>
    <x v="0"/>
    <x v="1"/>
    <x v="25"/>
    <x v="14"/>
    <x v="0"/>
    <x v="2"/>
    <x v="0"/>
  </r>
  <r>
    <n v="92"/>
    <s v="William Davis"/>
    <x v="0"/>
    <x v="2"/>
    <x v="4"/>
    <x v="0"/>
    <x v="0"/>
    <x v="26"/>
    <x v="15"/>
    <x v="0"/>
    <x v="0"/>
    <x v="0"/>
  </r>
  <r>
    <n v="93"/>
    <s v="Olivia Brown"/>
    <x v="1"/>
    <x v="0"/>
    <x v="0"/>
    <x v="0"/>
    <x v="12"/>
    <x v="27"/>
    <x v="11"/>
    <x v="2"/>
    <x v="0"/>
    <x v="1"/>
  </r>
  <r>
    <n v="94"/>
    <s v="John Smith"/>
    <x v="0"/>
    <x v="3"/>
    <x v="6"/>
    <x v="0"/>
    <x v="4"/>
    <x v="28"/>
    <x v="16"/>
    <x v="0"/>
    <x v="0"/>
    <x v="1"/>
  </r>
  <r>
    <n v="95"/>
    <s v="Alice Johnson"/>
    <x v="1"/>
    <x v="1"/>
    <x v="1"/>
    <x v="0"/>
    <x v="13"/>
    <x v="29"/>
    <x v="17"/>
    <x v="0"/>
    <x v="2"/>
    <x v="0"/>
  </r>
  <r>
    <n v="96"/>
    <s v="Robert Davis"/>
    <x v="0"/>
    <x v="2"/>
    <x v="2"/>
    <x v="0"/>
    <x v="10"/>
    <x v="30"/>
    <x v="18"/>
    <x v="0"/>
    <x v="2"/>
    <x v="0"/>
  </r>
  <r>
    <n v="97"/>
    <s v="Emily Wilson"/>
    <x v="1"/>
    <x v="0"/>
    <x v="3"/>
    <x v="0"/>
    <x v="14"/>
    <x v="31"/>
    <x v="19"/>
    <x v="2"/>
    <x v="0"/>
    <x v="2"/>
  </r>
  <r>
    <n v="98"/>
    <s v="Michael Brown"/>
    <x v="0"/>
    <x v="3"/>
    <x v="4"/>
    <x v="0"/>
    <x v="15"/>
    <x v="32"/>
    <x v="20"/>
    <x v="2"/>
    <x v="0"/>
    <x v="1"/>
  </r>
  <r>
    <n v="99"/>
    <s v="Laura Lee"/>
    <x v="1"/>
    <x v="2"/>
    <x v="5"/>
    <x v="0"/>
    <x v="16"/>
    <x v="0"/>
    <x v="21"/>
    <x v="0"/>
    <x v="2"/>
    <x v="0"/>
  </r>
  <r>
    <n v="100"/>
    <s v="William Johnson"/>
    <x v="0"/>
    <x v="1"/>
    <x v="6"/>
    <x v="0"/>
    <x v="17"/>
    <x v="33"/>
    <x v="14"/>
    <x v="0"/>
    <x v="2"/>
    <x v="0"/>
  </r>
  <r>
    <n v="101"/>
    <s v="Sarah Miller"/>
    <x v="1"/>
    <x v="0"/>
    <x v="3"/>
    <x v="0"/>
    <x v="7"/>
    <x v="34"/>
    <x v="7"/>
    <x v="2"/>
    <x v="0"/>
    <x v="1"/>
  </r>
  <r>
    <n v="102"/>
    <s v="James Wilson"/>
    <x v="0"/>
    <x v="3"/>
    <x v="7"/>
    <x v="0"/>
    <x v="18"/>
    <x v="35"/>
    <x v="22"/>
    <x v="0"/>
    <x v="2"/>
    <x v="0"/>
  </r>
  <r>
    <n v="103"/>
    <s v="Olivia Clark"/>
    <x v="1"/>
    <x v="2"/>
    <x v="0"/>
    <x v="0"/>
    <x v="19"/>
    <x v="36"/>
    <x v="23"/>
    <x v="2"/>
    <x v="0"/>
    <x v="1"/>
  </r>
  <r>
    <n v="104"/>
    <s v="Andrew Hall"/>
    <x v="0"/>
    <x v="0"/>
    <x v="2"/>
    <x v="0"/>
    <x v="20"/>
    <x v="37"/>
    <x v="24"/>
    <x v="0"/>
    <x v="2"/>
    <x v="0"/>
  </r>
  <r>
    <n v="105"/>
    <s v="David Jones"/>
    <x v="0"/>
    <x v="2"/>
    <x v="3"/>
    <x v="0"/>
    <x v="9"/>
    <x v="38"/>
    <x v="25"/>
    <x v="2"/>
    <x v="0"/>
    <x v="1"/>
  </r>
  <r>
    <n v="106"/>
    <s v="Elizabeth Williams"/>
    <x v="1"/>
    <x v="0"/>
    <x v="7"/>
    <x v="0"/>
    <x v="21"/>
    <x v="39"/>
    <x v="26"/>
    <x v="2"/>
    <x v="2"/>
    <x v="2"/>
  </r>
  <r>
    <n v="107"/>
    <s v="Charles Miller"/>
    <x v="0"/>
    <x v="3"/>
    <x v="0"/>
    <x v="0"/>
    <x v="22"/>
    <x v="40"/>
    <x v="27"/>
    <x v="2"/>
    <x v="2"/>
    <x v="2"/>
  </r>
  <r>
    <n v="108"/>
    <s v="Susan Davis"/>
    <x v="1"/>
    <x v="2"/>
    <x v="2"/>
    <x v="0"/>
    <x v="23"/>
    <x v="41"/>
    <x v="28"/>
    <x v="2"/>
    <x v="2"/>
    <x v="2"/>
  </r>
  <r>
    <n v="109"/>
    <s v="John Brown"/>
    <x v="0"/>
    <x v="1"/>
    <x v="6"/>
    <x v="0"/>
    <x v="24"/>
    <x v="42"/>
    <x v="29"/>
    <x v="2"/>
    <x v="2"/>
    <x v="2"/>
  </r>
  <r>
    <n v="110"/>
    <s v="Laura Lee"/>
    <x v="1"/>
    <x v="0"/>
    <x v="5"/>
    <x v="0"/>
    <x v="25"/>
    <x v="43"/>
    <x v="30"/>
    <x v="2"/>
    <x v="2"/>
    <x v="2"/>
  </r>
  <r>
    <n v="111"/>
    <s v="William Johnson"/>
    <x v="0"/>
    <x v="3"/>
    <x v="6"/>
    <x v="0"/>
    <x v="26"/>
    <x v="44"/>
    <x v="31"/>
    <x v="2"/>
    <x v="2"/>
    <x v="2"/>
  </r>
  <r>
    <n v="112"/>
    <s v="Sarah Miller"/>
    <x v="1"/>
    <x v="2"/>
    <x v="3"/>
    <x v="0"/>
    <x v="14"/>
    <x v="45"/>
    <x v="19"/>
    <x v="2"/>
    <x v="2"/>
    <x v="2"/>
  </r>
  <r>
    <n v="113"/>
    <s v="James Wilson"/>
    <x v="0"/>
    <x v="1"/>
    <x v="7"/>
    <x v="0"/>
    <x v="18"/>
    <x v="46"/>
    <x v="22"/>
    <x v="2"/>
    <x v="2"/>
    <x v="2"/>
  </r>
  <r>
    <n v="114"/>
    <s v="Olivia Clark"/>
    <x v="1"/>
    <x v="0"/>
    <x v="0"/>
    <x v="0"/>
    <x v="19"/>
    <x v="47"/>
    <x v="23"/>
    <x v="2"/>
    <x v="2"/>
    <x v="2"/>
  </r>
  <r>
    <n v="115"/>
    <s v="Andrew Hall"/>
    <x v="0"/>
    <x v="3"/>
    <x v="2"/>
    <x v="0"/>
    <x v="20"/>
    <x v="37"/>
    <x v="24"/>
    <x v="2"/>
    <x v="2"/>
    <x v="2"/>
  </r>
  <r>
    <n v="116"/>
    <s v="Grace Smith"/>
    <x v="1"/>
    <x v="1"/>
    <x v="6"/>
    <x v="0"/>
    <x v="0"/>
    <x v="48"/>
    <x v="32"/>
    <x v="0"/>
    <x v="2"/>
    <x v="0"/>
  </r>
  <r>
    <n v="117"/>
    <s v="Michael Johnson"/>
    <x v="0"/>
    <x v="2"/>
    <x v="4"/>
    <x v="0"/>
    <x v="1"/>
    <x v="49"/>
    <x v="14"/>
    <x v="1"/>
    <x v="0"/>
    <x v="0"/>
  </r>
  <r>
    <n v="118"/>
    <s v="Olivia Davis"/>
    <x v="1"/>
    <x v="0"/>
    <x v="5"/>
    <x v="0"/>
    <x v="2"/>
    <x v="50"/>
    <x v="2"/>
    <x v="0"/>
    <x v="0"/>
    <x v="1"/>
  </r>
  <r>
    <n v="119"/>
    <s v="William Brown"/>
    <x v="0"/>
    <x v="3"/>
    <x v="3"/>
    <x v="0"/>
    <x v="3"/>
    <x v="2"/>
    <x v="3"/>
    <x v="2"/>
    <x v="0"/>
    <x v="2"/>
  </r>
  <r>
    <n v="120"/>
    <s v="Emily Wilson"/>
    <x v="1"/>
    <x v="2"/>
    <x v="0"/>
    <x v="0"/>
    <x v="4"/>
    <x v="4"/>
    <x v="4"/>
    <x v="1"/>
    <x v="1"/>
    <x v="2"/>
  </r>
  <r>
    <n v="121"/>
    <s v="David Lee"/>
    <x v="0"/>
    <x v="0"/>
    <x v="2"/>
    <x v="0"/>
    <x v="5"/>
    <x v="51"/>
    <x v="5"/>
    <x v="0"/>
    <x v="1"/>
    <x v="0"/>
  </r>
  <r>
    <n v="122"/>
    <s v="Sophia Miller"/>
    <x v="1"/>
    <x v="1"/>
    <x v="3"/>
    <x v="0"/>
    <x v="6"/>
    <x v="52"/>
    <x v="6"/>
    <x v="2"/>
    <x v="0"/>
    <x v="1"/>
  </r>
  <r>
    <n v="123"/>
    <s v="James Wilson"/>
    <x v="0"/>
    <x v="3"/>
    <x v="7"/>
    <x v="0"/>
    <x v="7"/>
    <x v="53"/>
    <x v="7"/>
    <x v="0"/>
    <x v="1"/>
    <x v="0"/>
  </r>
  <r>
    <n v="124"/>
    <s v="Emma Clark"/>
    <x v="1"/>
    <x v="2"/>
    <x v="0"/>
    <x v="0"/>
    <x v="8"/>
    <x v="54"/>
    <x v="8"/>
    <x v="1"/>
    <x v="0"/>
    <x v="0"/>
  </r>
  <r>
    <n v="125"/>
    <s v="Matthew Hall"/>
    <x v="0"/>
    <x v="0"/>
    <x v="2"/>
    <x v="0"/>
    <x v="0"/>
    <x v="10"/>
    <x v="10"/>
    <x v="0"/>
    <x v="1"/>
    <x v="0"/>
  </r>
  <r>
    <n v="126"/>
    <s v="Olivia Davis"/>
    <x v="1"/>
    <x v="2"/>
    <x v="3"/>
    <x v="0"/>
    <x v="3"/>
    <x v="3"/>
    <x v="3"/>
    <x v="2"/>
    <x v="0"/>
    <x v="2"/>
  </r>
  <r>
    <n v="127"/>
    <s v="William Smith"/>
    <x v="0"/>
    <x v="3"/>
    <x v="7"/>
    <x v="0"/>
    <x v="8"/>
    <x v="55"/>
    <x v="8"/>
    <x v="1"/>
    <x v="1"/>
    <x v="2"/>
  </r>
  <r>
    <n v="128"/>
    <s v="Emily Johnson"/>
    <x v="1"/>
    <x v="1"/>
    <x v="0"/>
    <x v="0"/>
    <x v="9"/>
    <x v="19"/>
    <x v="9"/>
    <x v="2"/>
    <x v="2"/>
    <x v="2"/>
  </r>
  <r>
    <n v="129"/>
    <s v="David Brown"/>
    <x v="0"/>
    <x v="2"/>
    <x v="2"/>
    <x v="0"/>
    <x v="10"/>
    <x v="56"/>
    <x v="2"/>
    <x v="0"/>
    <x v="0"/>
    <x v="1"/>
  </r>
  <r>
    <n v="130"/>
    <s v="Sophia Wilson"/>
    <x v="1"/>
    <x v="0"/>
    <x v="3"/>
    <x v="0"/>
    <x v="4"/>
    <x v="4"/>
    <x v="4"/>
    <x v="1"/>
    <x v="1"/>
    <x v="2"/>
  </r>
  <r>
    <n v="131"/>
    <s v="James Miller"/>
    <x v="0"/>
    <x v="3"/>
    <x v="7"/>
    <x v="0"/>
    <x v="6"/>
    <x v="6"/>
    <x v="6"/>
    <x v="1"/>
    <x v="0"/>
    <x v="0"/>
  </r>
  <r>
    <n v="132"/>
    <s v="Emma Johnson"/>
    <x v="1"/>
    <x v="2"/>
    <x v="0"/>
    <x v="0"/>
    <x v="7"/>
    <x v="7"/>
    <x v="7"/>
    <x v="2"/>
    <x v="0"/>
    <x v="1"/>
  </r>
  <r>
    <n v="133"/>
    <s v="Matthew Lee"/>
    <x v="0"/>
    <x v="0"/>
    <x v="2"/>
    <x v="0"/>
    <x v="0"/>
    <x v="57"/>
    <x v="32"/>
    <x v="0"/>
    <x v="2"/>
    <x v="0"/>
  </r>
  <r>
    <n v="134"/>
    <s v="Oliver Davis"/>
    <x v="0"/>
    <x v="3"/>
    <x v="3"/>
    <x v="0"/>
    <x v="1"/>
    <x v="17"/>
    <x v="1"/>
    <x v="1"/>
    <x v="0"/>
    <x v="0"/>
  </r>
  <r>
    <n v="135"/>
    <s v="Isabella Brown"/>
    <x v="1"/>
    <x v="1"/>
    <x v="6"/>
    <x v="0"/>
    <x v="2"/>
    <x v="58"/>
    <x v="2"/>
    <x v="0"/>
    <x v="1"/>
    <x v="2"/>
  </r>
  <r>
    <n v="136"/>
    <s v="Elijah Smith"/>
    <x v="0"/>
    <x v="2"/>
    <x v="4"/>
    <x v="0"/>
    <x v="3"/>
    <x v="2"/>
    <x v="3"/>
    <x v="2"/>
    <x v="0"/>
    <x v="2"/>
  </r>
  <r>
    <n v="137"/>
    <s v="Ava Miller"/>
    <x v="1"/>
    <x v="0"/>
    <x v="5"/>
    <x v="0"/>
    <x v="4"/>
    <x v="59"/>
    <x v="4"/>
    <x v="0"/>
    <x v="2"/>
    <x v="0"/>
  </r>
  <r>
    <n v="138"/>
    <s v="Liam Wilson"/>
    <x v="0"/>
    <x v="3"/>
    <x v="3"/>
    <x v="0"/>
    <x v="5"/>
    <x v="10"/>
    <x v="5"/>
    <x v="0"/>
    <x v="2"/>
    <x v="0"/>
  </r>
  <r>
    <n v="139"/>
    <s v="Sophia Johnson"/>
    <x v="1"/>
    <x v="2"/>
    <x v="0"/>
    <x v="0"/>
    <x v="6"/>
    <x v="60"/>
    <x v="6"/>
    <x v="2"/>
    <x v="0"/>
    <x v="1"/>
  </r>
  <r>
    <n v="140"/>
    <s v="Michael Brown"/>
    <x v="0"/>
    <x v="0"/>
    <x v="2"/>
    <x v="0"/>
    <x v="7"/>
    <x v="61"/>
    <x v="7"/>
    <x v="0"/>
    <x v="0"/>
    <x v="0"/>
  </r>
  <r>
    <n v="141"/>
    <s v="Emily Lee"/>
    <x v="1"/>
    <x v="1"/>
    <x v="3"/>
    <x v="0"/>
    <x v="8"/>
    <x v="62"/>
    <x v="8"/>
    <x v="2"/>
    <x v="0"/>
    <x v="1"/>
  </r>
  <r>
    <n v="142"/>
    <s v="William Davis"/>
    <x v="0"/>
    <x v="3"/>
    <x v="7"/>
    <x v="0"/>
    <x v="0"/>
    <x v="63"/>
    <x v="32"/>
    <x v="0"/>
    <x v="1"/>
    <x v="1"/>
  </r>
  <r>
    <n v="143"/>
    <s v="Olivia Brown"/>
    <x v="1"/>
    <x v="2"/>
    <x v="0"/>
    <x v="0"/>
    <x v="1"/>
    <x v="64"/>
    <x v="14"/>
    <x v="1"/>
    <x v="1"/>
    <x v="2"/>
  </r>
  <r>
    <n v="144"/>
    <s v="John Smith"/>
    <x v="0"/>
    <x v="0"/>
    <x v="6"/>
    <x v="0"/>
    <x v="3"/>
    <x v="24"/>
    <x v="3"/>
    <x v="2"/>
    <x v="0"/>
    <x v="1"/>
  </r>
  <r>
    <n v="145"/>
    <s v="Alice Johnson"/>
    <x v="1"/>
    <x v="1"/>
    <x v="3"/>
    <x v="0"/>
    <x v="5"/>
    <x v="57"/>
    <x v="5"/>
    <x v="0"/>
    <x v="2"/>
    <x v="0"/>
  </r>
  <r>
    <n v="146"/>
    <s v="Charlotte Davis"/>
    <x v="1"/>
    <x v="2"/>
    <x v="3"/>
    <x v="0"/>
    <x v="0"/>
    <x v="63"/>
    <x v="32"/>
    <x v="0"/>
    <x v="2"/>
    <x v="0"/>
  </r>
  <r>
    <n v="147"/>
    <s v="Joseph Miller"/>
    <x v="0"/>
    <x v="0"/>
    <x v="6"/>
    <x v="0"/>
    <x v="1"/>
    <x v="17"/>
    <x v="1"/>
    <x v="0"/>
    <x v="2"/>
    <x v="0"/>
  </r>
  <r>
    <n v="148"/>
    <s v="Emma Wilson"/>
    <x v="1"/>
    <x v="1"/>
    <x v="2"/>
    <x v="0"/>
    <x v="2"/>
    <x v="50"/>
    <x v="2"/>
    <x v="0"/>
    <x v="0"/>
    <x v="1"/>
  </r>
  <r>
    <n v="149"/>
    <s v="Oliver Brown"/>
    <x v="0"/>
    <x v="3"/>
    <x v="3"/>
    <x v="0"/>
    <x v="3"/>
    <x v="2"/>
    <x v="3"/>
    <x v="2"/>
    <x v="0"/>
    <x v="2"/>
  </r>
  <r>
    <n v="150"/>
    <s v="Sophia Johnson"/>
    <x v="1"/>
    <x v="2"/>
    <x v="0"/>
    <x v="0"/>
    <x v="4"/>
    <x v="4"/>
    <x v="4"/>
    <x v="1"/>
    <x v="1"/>
    <x v="2"/>
  </r>
  <r>
    <n v="151"/>
    <s v="William Smith"/>
    <x v="0"/>
    <x v="0"/>
    <x v="5"/>
    <x v="0"/>
    <x v="5"/>
    <x v="51"/>
    <x v="5"/>
    <x v="0"/>
    <x v="2"/>
    <x v="0"/>
  </r>
  <r>
    <n v="152"/>
    <s v="Charlotte Davis"/>
    <x v="1"/>
    <x v="2"/>
    <x v="3"/>
    <x v="0"/>
    <x v="6"/>
    <x v="52"/>
    <x v="6"/>
    <x v="2"/>
    <x v="0"/>
    <x v="1"/>
  </r>
  <r>
    <n v="153"/>
    <s v="James Wilson"/>
    <x v="0"/>
    <x v="1"/>
    <x v="6"/>
    <x v="0"/>
    <x v="7"/>
    <x v="53"/>
    <x v="7"/>
    <x v="0"/>
    <x v="1"/>
    <x v="0"/>
  </r>
  <r>
    <n v="154"/>
    <s v="Olivia Clark"/>
    <x v="1"/>
    <x v="0"/>
    <x v="0"/>
    <x v="0"/>
    <x v="8"/>
    <x v="54"/>
    <x v="8"/>
    <x v="2"/>
    <x v="0"/>
    <x v="1"/>
  </r>
  <r>
    <n v="155"/>
    <s v="Matthew Hall"/>
    <x v="0"/>
    <x v="3"/>
    <x v="2"/>
    <x v="0"/>
    <x v="0"/>
    <x v="10"/>
    <x v="10"/>
    <x v="0"/>
    <x v="1"/>
    <x v="0"/>
  </r>
  <r>
    <n v="156"/>
    <s v="Elijah Davis"/>
    <x v="0"/>
    <x v="2"/>
    <x v="3"/>
    <x v="0"/>
    <x v="3"/>
    <x v="3"/>
    <x v="3"/>
    <x v="2"/>
    <x v="0"/>
    <x v="2"/>
  </r>
  <r>
    <n v="157"/>
    <s v="Emma Johnson"/>
    <x v="1"/>
    <x v="1"/>
    <x v="6"/>
    <x v="0"/>
    <x v="4"/>
    <x v="59"/>
    <x v="4"/>
    <x v="0"/>
    <x v="2"/>
    <x v="0"/>
  </r>
  <r>
    <n v="158"/>
    <s v="Liam Wilson"/>
    <x v="0"/>
    <x v="0"/>
    <x v="4"/>
    <x v="0"/>
    <x v="5"/>
    <x v="10"/>
    <x v="5"/>
    <x v="0"/>
    <x v="2"/>
    <x v="0"/>
  </r>
  <r>
    <n v="159"/>
    <s v="Sophia Johnson"/>
    <x v="1"/>
    <x v="2"/>
    <x v="0"/>
    <x v="0"/>
    <x v="6"/>
    <x v="60"/>
    <x v="6"/>
    <x v="2"/>
    <x v="0"/>
    <x v="1"/>
  </r>
  <r>
    <n v="160"/>
    <s v="Michael Brown"/>
    <x v="0"/>
    <x v="3"/>
    <x v="3"/>
    <x v="0"/>
    <x v="7"/>
    <x v="61"/>
    <x v="7"/>
    <x v="0"/>
    <x v="0"/>
    <x v="0"/>
  </r>
  <r>
    <n v="161"/>
    <s v="Emily Lee"/>
    <x v="1"/>
    <x v="1"/>
    <x v="2"/>
    <x v="0"/>
    <x v="8"/>
    <x v="62"/>
    <x v="8"/>
    <x v="2"/>
    <x v="0"/>
    <x v="1"/>
  </r>
  <r>
    <n v="162"/>
    <s v="William Davis"/>
    <x v="0"/>
    <x v="0"/>
    <x v="3"/>
    <x v="0"/>
    <x v="0"/>
    <x v="63"/>
    <x v="32"/>
    <x v="0"/>
    <x v="1"/>
    <x v="1"/>
  </r>
  <r>
    <n v="163"/>
    <s v="Olivia Brown"/>
    <x v="1"/>
    <x v="2"/>
    <x v="0"/>
    <x v="0"/>
    <x v="1"/>
    <x v="64"/>
    <x v="14"/>
    <x v="1"/>
    <x v="1"/>
    <x v="2"/>
  </r>
  <r>
    <n v="164"/>
    <s v="John Smith"/>
    <x v="0"/>
    <x v="3"/>
    <x v="6"/>
    <x v="0"/>
    <x v="3"/>
    <x v="24"/>
    <x v="3"/>
    <x v="2"/>
    <x v="0"/>
    <x v="1"/>
  </r>
  <r>
    <n v="165"/>
    <s v="Alice Johnson"/>
    <x v="1"/>
    <x v="1"/>
    <x v="3"/>
    <x v="0"/>
    <x v="5"/>
    <x v="57"/>
    <x v="5"/>
    <x v="0"/>
    <x v="2"/>
    <x v="0"/>
  </r>
  <r>
    <n v="166"/>
    <s v="Charlotte Davis"/>
    <x v="1"/>
    <x v="2"/>
    <x v="3"/>
    <x v="0"/>
    <x v="0"/>
    <x v="48"/>
    <x v="32"/>
    <x v="0"/>
    <x v="2"/>
    <x v="0"/>
  </r>
  <r>
    <n v="167"/>
    <s v="Joseph Miller"/>
    <x v="0"/>
    <x v="0"/>
    <x v="6"/>
    <x v="0"/>
    <x v="1"/>
    <x v="49"/>
    <x v="14"/>
    <x v="1"/>
    <x v="0"/>
    <x v="0"/>
  </r>
  <r>
    <n v="168"/>
    <s v="Emma Wilson"/>
    <x v="1"/>
    <x v="1"/>
    <x v="2"/>
    <x v="0"/>
    <x v="2"/>
    <x v="50"/>
    <x v="2"/>
    <x v="0"/>
    <x v="0"/>
    <x v="1"/>
  </r>
  <r>
    <n v="169"/>
    <s v="Oliver Brown"/>
    <x v="0"/>
    <x v="3"/>
    <x v="3"/>
    <x v="0"/>
    <x v="3"/>
    <x v="2"/>
    <x v="3"/>
    <x v="2"/>
    <x v="0"/>
    <x v="2"/>
  </r>
  <r>
    <n v="170"/>
    <s v="Sophia Johnson"/>
    <x v="1"/>
    <x v="2"/>
    <x v="0"/>
    <x v="0"/>
    <x v="4"/>
    <x v="4"/>
    <x v="4"/>
    <x v="1"/>
    <x v="1"/>
    <x v="2"/>
  </r>
  <r>
    <n v="171"/>
    <s v="William Smith"/>
    <x v="0"/>
    <x v="0"/>
    <x v="5"/>
    <x v="0"/>
    <x v="5"/>
    <x v="51"/>
    <x v="5"/>
    <x v="0"/>
    <x v="2"/>
    <x v="0"/>
  </r>
  <r>
    <n v="172"/>
    <s v="Charlotte Davis"/>
    <x v="1"/>
    <x v="2"/>
    <x v="3"/>
    <x v="0"/>
    <x v="6"/>
    <x v="52"/>
    <x v="6"/>
    <x v="2"/>
    <x v="0"/>
    <x v="1"/>
  </r>
  <r>
    <n v="173"/>
    <s v="James Wilson"/>
    <x v="0"/>
    <x v="1"/>
    <x v="6"/>
    <x v="0"/>
    <x v="7"/>
    <x v="53"/>
    <x v="7"/>
    <x v="0"/>
    <x v="1"/>
    <x v="0"/>
  </r>
  <r>
    <n v="174"/>
    <s v="Olivia Clark"/>
    <x v="1"/>
    <x v="0"/>
    <x v="0"/>
    <x v="0"/>
    <x v="8"/>
    <x v="54"/>
    <x v="8"/>
    <x v="2"/>
    <x v="0"/>
    <x v="1"/>
  </r>
  <r>
    <n v="175"/>
    <s v="Matthew Hall"/>
    <x v="0"/>
    <x v="3"/>
    <x v="2"/>
    <x v="0"/>
    <x v="0"/>
    <x v="10"/>
    <x v="10"/>
    <x v="0"/>
    <x v="1"/>
    <x v="0"/>
  </r>
  <r>
    <n v="176"/>
    <s v="Elijah Davis"/>
    <x v="0"/>
    <x v="2"/>
    <x v="3"/>
    <x v="0"/>
    <x v="3"/>
    <x v="3"/>
    <x v="3"/>
    <x v="2"/>
    <x v="0"/>
    <x v="2"/>
  </r>
  <r>
    <n v="177"/>
    <s v="Emma Johnson"/>
    <x v="1"/>
    <x v="1"/>
    <x v="6"/>
    <x v="0"/>
    <x v="4"/>
    <x v="59"/>
    <x v="4"/>
    <x v="0"/>
    <x v="2"/>
    <x v="0"/>
  </r>
  <r>
    <n v="178"/>
    <s v="Liam Wilson"/>
    <x v="0"/>
    <x v="0"/>
    <x v="4"/>
    <x v="0"/>
    <x v="5"/>
    <x v="10"/>
    <x v="5"/>
    <x v="0"/>
    <x v="2"/>
    <x v="0"/>
  </r>
  <r>
    <n v="179"/>
    <s v="Sophia Johnson"/>
    <x v="1"/>
    <x v="2"/>
    <x v="0"/>
    <x v="0"/>
    <x v="6"/>
    <x v="60"/>
    <x v="6"/>
    <x v="2"/>
    <x v="0"/>
    <x v="1"/>
  </r>
  <r>
    <n v="180"/>
    <s v="Michael Brown"/>
    <x v="0"/>
    <x v="3"/>
    <x v="3"/>
    <x v="0"/>
    <x v="7"/>
    <x v="61"/>
    <x v="7"/>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
    <s v="John Smith"/>
    <s v="Male"/>
    <n v="21"/>
    <n v="3.5"/>
    <s v="Computer Science"/>
    <s v="Artificial Intelligence"/>
    <s v="Chatbot Development"/>
    <x v="0"/>
    <s v="Strong"/>
    <s v="Strong"/>
    <s v="Weak"/>
    <n v="180"/>
    <n v="3.615000000000002"/>
    <n v="0.3888888888888889"/>
    <m/>
  </r>
  <r>
    <n v="2"/>
    <s v="Alice Johnson"/>
    <s v="Female"/>
    <n v="20"/>
    <n v="3.2"/>
    <s v="Computer Science"/>
    <s v="Data Science"/>
    <s v="Data Analytics"/>
    <x v="1"/>
    <s v="Average"/>
    <s v="Strong"/>
    <s v="Weak"/>
    <m/>
    <m/>
    <m/>
    <m/>
  </r>
  <r>
    <n v="3"/>
    <s v="Robert Davis"/>
    <s v="Male"/>
    <n v="22"/>
    <n v="3.8"/>
    <s v="Computer Science"/>
    <s v="Software Development"/>
    <s v="E-commerce Website"/>
    <x v="2"/>
    <s v="Strong"/>
    <s v="Strong"/>
    <s v="Average"/>
    <m/>
    <m/>
    <m/>
    <m/>
  </r>
  <r>
    <n v="4"/>
    <s v="Emily Wilson"/>
    <s v="Female"/>
    <n v="21"/>
    <n v="3.7"/>
    <s v="Computer Science"/>
    <s v="Web Development"/>
    <s v="Full-Stack Web App"/>
    <x v="3"/>
    <s v="Weak"/>
    <s v="Strong"/>
    <s v="Strong"/>
    <m/>
    <m/>
    <m/>
    <m/>
  </r>
  <r>
    <n v="5"/>
    <s v="Michael Brown"/>
    <s v="Male"/>
    <n v="23"/>
    <n v="3.4"/>
    <s v="Computer Science"/>
    <s v="Cybersecurity"/>
    <s v="Network Security"/>
    <x v="4"/>
    <s v="Average"/>
    <s v="Weak"/>
    <s v="Strong"/>
    <m/>
    <m/>
    <m/>
    <m/>
  </r>
  <r>
    <n v="6"/>
    <s v="Laura Lee"/>
    <s v="Female"/>
    <n v="22"/>
    <n v="3.9"/>
    <s v="Computer Science"/>
    <s v="Machine Learning"/>
    <s v="Image Recognition"/>
    <x v="5"/>
    <s v="Strong"/>
    <s v="Average"/>
    <s v="Weak"/>
    <m/>
    <m/>
    <m/>
    <m/>
  </r>
  <r>
    <n v="7"/>
    <s v="William Johnson"/>
    <s v="Male"/>
    <n v="20"/>
    <n v="3.6"/>
    <s v="Computer Science"/>
    <s v="Database Management"/>
    <s v="SQL Query Optimization"/>
    <x v="6"/>
    <s v="Average"/>
    <s v="Strong"/>
    <s v="Weak"/>
    <m/>
    <m/>
    <m/>
    <m/>
  </r>
  <r>
    <n v="8"/>
    <s v="Sarah Miller"/>
    <s v="Female"/>
    <n v="21"/>
    <n v="3.7"/>
    <s v="Computer Science"/>
    <s v="Cloud Computing"/>
    <s v="AWS Deployment"/>
    <x v="7"/>
    <s v="Weak"/>
    <s v="Strong"/>
    <s v="Average"/>
    <m/>
    <m/>
    <m/>
    <m/>
  </r>
  <r>
    <n v="9"/>
    <s v="James Wilson"/>
    <s v="Male"/>
    <n v="23"/>
    <n v="3.3"/>
    <s v="Computer Science"/>
    <s v="Mobile App Development"/>
    <s v="Android App"/>
    <x v="8"/>
    <s v="Average"/>
    <s v="Weak"/>
    <s v="Strong"/>
    <m/>
    <m/>
    <m/>
    <m/>
  </r>
  <r>
    <n v="10"/>
    <s v="Olivia Clark"/>
    <s v="Female"/>
    <n v="22"/>
    <n v="3.5"/>
    <s v="Computer Science"/>
    <s v="Computer Graphics"/>
    <s v="3D Rendering"/>
    <x v="9"/>
    <s v="Weak"/>
    <s v="Average"/>
    <s v="Strong"/>
    <m/>
    <m/>
    <m/>
    <m/>
  </r>
  <r>
    <n v="11"/>
    <s v="Andrew Hall"/>
    <s v="Male"/>
    <n v="21"/>
    <n v="3.8"/>
    <s v="Computer Science"/>
    <s v="Artificial Intelligence"/>
    <s v="Natural Language Processing"/>
    <x v="10"/>
    <s v="Strong"/>
    <s v="Average"/>
    <s v="Weak"/>
    <m/>
    <m/>
    <m/>
    <m/>
  </r>
  <r>
    <n v="12"/>
    <s v="David Jones"/>
    <s v="Male"/>
    <n v="22"/>
    <n v="3.7"/>
    <s v="Computer Science"/>
    <s v="Web Development"/>
    <s v="Full-Stack Web App"/>
    <x v="3"/>
    <s v="Strong"/>
    <s v="Strong"/>
    <s v="Average"/>
    <m/>
    <m/>
    <m/>
    <m/>
  </r>
  <r>
    <n v="13"/>
    <s v="Elizabeth Williams"/>
    <s v="Female"/>
    <n v="21"/>
    <n v="3.3"/>
    <s v="Computer Science"/>
    <s v="Mobile App Development"/>
    <s v="iOS App"/>
    <x v="8"/>
    <s v="Average"/>
    <s v="Weak"/>
    <s v="Strong"/>
    <m/>
    <m/>
    <m/>
    <m/>
  </r>
  <r>
    <n v="14"/>
    <s v="Charles Miller"/>
    <s v="Male"/>
    <n v="23"/>
    <n v="3.5"/>
    <s v="Computer Science"/>
    <s v="Computer Graphics"/>
    <s v="Game Development"/>
    <x v="11"/>
    <s v="Weak"/>
    <s v="Average"/>
    <s v="Strong"/>
    <m/>
    <m/>
    <m/>
    <m/>
  </r>
  <r>
    <n v="15"/>
    <s v="Susan Davis"/>
    <s v="Female"/>
    <n v="22"/>
    <n v="3.8"/>
    <s v="Computer Science"/>
    <s v="Software Engineering"/>
    <s v="E-commerce Website"/>
    <x v="2"/>
    <s v="Strong"/>
    <s v="Strong"/>
    <s v="Average"/>
    <m/>
    <m/>
    <m/>
    <m/>
  </r>
  <r>
    <n v="16"/>
    <s v="John Brown"/>
    <s v="Male"/>
    <n v="20"/>
    <n v="3.6"/>
    <s v="Computer Science"/>
    <s v="Cybersecurity"/>
    <s v="Network Security"/>
    <x v="4"/>
    <s v="Average"/>
    <s v="Weak"/>
    <s v="Strong"/>
    <m/>
    <m/>
    <m/>
    <m/>
  </r>
  <r>
    <n v="17"/>
    <s v="Laura Lee"/>
    <s v="Female"/>
    <n v="21"/>
    <n v="3.9"/>
    <s v="Computer Science"/>
    <s v="Machine Learning"/>
    <s v="Image Recognition"/>
    <x v="5"/>
    <s v="Strong"/>
    <s v="Average"/>
    <s v="Weak"/>
    <m/>
    <m/>
    <m/>
    <m/>
  </r>
  <r>
    <n v="18"/>
    <s v="William Johnson"/>
    <s v="Male"/>
    <n v="23"/>
    <n v="3.6"/>
    <s v="Computer Science"/>
    <s v="Database Management"/>
    <s v="SQL Query Optimization"/>
    <x v="6"/>
    <s v="Average"/>
    <s v="Strong"/>
    <s v="Weak"/>
    <m/>
    <m/>
    <m/>
    <m/>
  </r>
  <r>
    <n v="19"/>
    <s v="Sarah Miller"/>
    <s v="Female"/>
    <n v="22"/>
    <n v="3.7"/>
    <s v="Computer Science"/>
    <s v="Cloud Computing"/>
    <s v="AWS Deployment"/>
    <x v="7"/>
    <s v="Weak"/>
    <s v="Strong"/>
    <s v="Average"/>
    <m/>
    <m/>
    <m/>
    <m/>
  </r>
  <r>
    <n v="20"/>
    <s v="James Wilson"/>
    <s v="Male"/>
    <n v="20"/>
    <n v="3.3"/>
    <s v="Computer Science"/>
    <s v="Mobile App Development"/>
    <s v="Android App"/>
    <x v="8"/>
    <s v="Average"/>
    <s v="Weak"/>
    <s v="Strong"/>
    <m/>
    <m/>
    <m/>
    <m/>
  </r>
  <r>
    <n v="21"/>
    <s v="Olivia Clark"/>
    <s v="Female"/>
    <n v="21"/>
    <n v="3.5"/>
    <s v="Computer Science"/>
    <s v="Computer Graphics"/>
    <s v="3D Rendering"/>
    <x v="9"/>
    <s v="Weak"/>
    <s v="Average"/>
    <s v="Strong"/>
    <m/>
    <m/>
    <m/>
    <m/>
  </r>
  <r>
    <n v="22"/>
    <s v="Andrew Hall"/>
    <s v="Male"/>
    <n v="23"/>
    <n v="3.8"/>
    <s v="Computer Science"/>
    <s v="Artificial Intelligence"/>
    <s v="Natural Language Processing"/>
    <x v="10"/>
    <s v="Strong"/>
    <s v="Average"/>
    <s v="Weak"/>
    <m/>
    <m/>
    <m/>
    <m/>
  </r>
  <r>
    <n v="23"/>
    <s v="David Jones"/>
    <s v="Male"/>
    <n v="22"/>
    <n v="3.7"/>
    <s v="Computer Science"/>
    <s v="Web Development"/>
    <s v="Full-Stack Web App"/>
    <x v="3"/>
    <s v="Strong"/>
    <s v="Strong"/>
    <s v="Average"/>
    <m/>
    <m/>
    <m/>
    <m/>
  </r>
  <r>
    <n v="24"/>
    <s v="Elizabeth Williams"/>
    <s v="Female"/>
    <n v="21"/>
    <n v="3.3"/>
    <s v="Computer Science"/>
    <s v="Mobile App Development"/>
    <s v="iOS App"/>
    <x v="8"/>
    <s v="Average"/>
    <s v="Weak"/>
    <s v="Strong"/>
    <m/>
    <m/>
    <m/>
    <m/>
  </r>
  <r>
    <n v="25"/>
    <s v="Charles Miller"/>
    <s v="Male"/>
    <n v="23"/>
    <n v="3.5"/>
    <s v="Computer Science"/>
    <s v="Computer Graphics"/>
    <s v="Game Development"/>
    <x v="11"/>
    <s v="Weak"/>
    <s v="Average"/>
    <s v="Strong"/>
    <m/>
    <m/>
    <m/>
    <m/>
  </r>
  <r>
    <n v="26"/>
    <s v="Susan Davis"/>
    <s v="Female"/>
    <n v="22"/>
    <n v="3.8"/>
    <s v="Computer Science"/>
    <s v="Software Engineering"/>
    <s v="E-commerce Website"/>
    <x v="2"/>
    <s v="Strong"/>
    <s v="Strong"/>
    <s v="Average"/>
    <m/>
    <m/>
    <m/>
    <m/>
  </r>
  <r>
    <n v="27"/>
    <s v="John Brown"/>
    <s v="Male"/>
    <n v="20"/>
    <n v="3.6"/>
    <s v="Computer Science"/>
    <s v="Cybersecurity"/>
    <s v="Network Security"/>
    <x v="4"/>
    <s v="Average"/>
    <s v="Weak"/>
    <s v="Strong"/>
    <m/>
    <m/>
    <m/>
    <m/>
  </r>
  <r>
    <n v="28"/>
    <s v="Laura Lee"/>
    <s v="Female"/>
    <n v="21"/>
    <n v="3.9"/>
    <s v="Computer Science"/>
    <s v="Machine Learning"/>
    <s v="Image Recognition"/>
    <x v="5"/>
    <s v="Strong"/>
    <s v="Average"/>
    <s v="Weak"/>
    <m/>
    <m/>
    <m/>
    <m/>
  </r>
  <r>
    <n v="29"/>
    <s v="William Johnson"/>
    <s v="Male"/>
    <n v="23"/>
    <n v="3.6"/>
    <s v="Computer Science"/>
    <s v="Database Management"/>
    <s v="SQL Query Optimization"/>
    <x v="6"/>
    <s v="Average"/>
    <s v="Strong"/>
    <s v="Weak"/>
    <m/>
    <m/>
    <m/>
    <m/>
  </r>
  <r>
    <n v="30"/>
    <s v="Sarah Miller"/>
    <s v="Female"/>
    <n v="22"/>
    <n v="3.7"/>
    <s v="Computer Science"/>
    <s v="Cloud Computing"/>
    <s v="AWS Deployment"/>
    <x v="7"/>
    <s v="Weak"/>
    <s v="Strong"/>
    <s v="Average"/>
    <m/>
    <m/>
    <m/>
    <m/>
  </r>
  <r>
    <n v="31"/>
    <s v="James Wilson"/>
    <s v="Male"/>
    <n v="20"/>
    <n v="3.3"/>
    <s v="Computer Science"/>
    <s v="Mobile App Development"/>
    <s v="Android App"/>
    <x v="8"/>
    <s v="Average"/>
    <s v="Weak"/>
    <s v="Strong"/>
    <m/>
    <m/>
    <m/>
    <m/>
  </r>
  <r>
    <n v="32"/>
    <s v="Olivia Clark"/>
    <s v="Female"/>
    <n v="21"/>
    <n v="3.5"/>
    <s v="Computer Science"/>
    <s v="Computer Graphics"/>
    <s v="3D Rendering"/>
    <x v="9"/>
    <s v="Weak"/>
    <s v="Average"/>
    <s v="Strong"/>
    <m/>
    <m/>
    <m/>
    <m/>
  </r>
  <r>
    <n v="33"/>
    <s v="Andrew Hall"/>
    <s v="Male"/>
    <n v="23"/>
    <n v="3.8"/>
    <s v="Computer Science"/>
    <s v="Artificial Intelligence"/>
    <s v="Natural Language Processing"/>
    <x v="10"/>
    <s v="Strong"/>
    <s v="Average"/>
    <s v="Weak"/>
    <m/>
    <m/>
    <m/>
    <m/>
  </r>
  <r>
    <n v="34"/>
    <s v="David Jones"/>
    <s v="Male"/>
    <n v="22"/>
    <n v="3.7"/>
    <s v="Computer Science"/>
    <s v="Web Development"/>
    <s v="Full-Stack Web App"/>
    <x v="3"/>
    <s v="Strong"/>
    <s v="Strong"/>
    <s v="Average"/>
    <m/>
    <m/>
    <m/>
    <m/>
  </r>
  <r>
    <n v="35"/>
    <s v="Elizabeth Williams"/>
    <s v="Female"/>
    <n v="21"/>
    <n v="3.3"/>
    <s v="Computer Science"/>
    <s v="Mobile App Development"/>
    <s v="iOS App"/>
    <x v="8"/>
    <s v="Average"/>
    <s v="Weak"/>
    <s v="Strong"/>
    <m/>
    <m/>
    <m/>
    <m/>
  </r>
  <r>
    <n v="36"/>
    <s v="Charles Miller"/>
    <s v="Male"/>
    <n v="23"/>
    <n v="3.5"/>
    <s v="Computer Science"/>
    <s v="Computer Graphics"/>
    <s v="Game Development"/>
    <x v="11"/>
    <s v="Weak"/>
    <s v="Average"/>
    <s v="Strong"/>
    <m/>
    <m/>
    <m/>
    <m/>
  </r>
  <r>
    <n v="37"/>
    <s v="Susan Davis"/>
    <s v="Female"/>
    <n v="22"/>
    <n v="3.8"/>
    <s v="Computer Science"/>
    <s v="Software Engineering"/>
    <s v="E-commerce Website"/>
    <x v="2"/>
    <s v="Strong"/>
    <s v="Strong"/>
    <s v="Average"/>
    <m/>
    <m/>
    <m/>
    <m/>
  </r>
  <r>
    <n v="38"/>
    <s v="John Brown"/>
    <s v="Male"/>
    <n v="20"/>
    <n v="3.6"/>
    <s v="Computer Science"/>
    <s v="Cybersecurity"/>
    <s v="Network Security"/>
    <x v="4"/>
    <s v="Average"/>
    <s v="Weak"/>
    <s v="Strong"/>
    <m/>
    <m/>
    <m/>
    <m/>
  </r>
  <r>
    <n v="39"/>
    <s v="Laura Lee"/>
    <s v="Female"/>
    <n v="21"/>
    <n v="3.9"/>
    <s v="Computer Science"/>
    <s v="Machine Learning"/>
    <s v="Image Recognition"/>
    <x v="5"/>
    <s v="Strong"/>
    <s v="Average"/>
    <s v="Weak"/>
    <m/>
    <m/>
    <m/>
    <m/>
  </r>
  <r>
    <n v="40"/>
    <s v="Jessica Jones"/>
    <s v="Female"/>
    <n v="22"/>
    <n v="3.6"/>
    <s v="Computer Science"/>
    <s v="Cloud Computing"/>
    <s v="GCP Deployment"/>
    <x v="7"/>
    <s v="Strong"/>
    <s v="Strong"/>
    <s v="Average"/>
    <m/>
    <m/>
    <m/>
    <m/>
  </r>
  <r>
    <n v="41"/>
    <s v="Peter Parker"/>
    <s v="Male"/>
    <n v="20"/>
    <n v="3.3"/>
    <s v="Computer Science"/>
    <s v="Software Development"/>
    <s v="Social Media Platform"/>
    <x v="2"/>
    <s v="Average"/>
    <s v="Weak"/>
    <s v="Strong"/>
    <m/>
    <m/>
    <m/>
    <m/>
  </r>
  <r>
    <n v="42"/>
    <s v="Mary Jane Watson"/>
    <s v="Female"/>
    <n v="21"/>
    <n v="3.7"/>
    <s v="Computer Science"/>
    <s v="Web Development"/>
    <s v="E-commerce Website"/>
    <x v="3"/>
    <s v="Weak"/>
    <s v="Strong"/>
    <s v="Strong"/>
    <m/>
    <m/>
    <m/>
    <m/>
  </r>
  <r>
    <n v="43"/>
    <s v="Harry Osborn"/>
    <s v="Male"/>
    <n v="23"/>
    <n v="3.5"/>
    <s v="Computer Science"/>
    <s v="Mobile App Development"/>
    <s v="iOS Game"/>
    <x v="8"/>
    <s v="Average"/>
    <s v="Weak"/>
    <s v="Strong"/>
    <m/>
    <m/>
    <m/>
    <m/>
  </r>
  <r>
    <n v="44"/>
    <s v="Gwen Stacy"/>
    <s v="Female"/>
    <n v="22"/>
    <n v="3.8"/>
    <s v="Computer Science"/>
    <s v="Computer Graphics"/>
    <s v="3D Animation"/>
    <x v="9"/>
    <s v="Weak"/>
    <s v="Average"/>
    <s v="Strong"/>
    <m/>
    <m/>
    <m/>
    <m/>
  </r>
  <r>
    <n v="45"/>
    <s v="Eddie Brock"/>
    <s v="Male"/>
    <n v="21"/>
    <n v="3.6"/>
    <s v="Computer Science"/>
    <s v="Artificial Intelligence"/>
    <s v="Natural Language Processing"/>
    <x v="10"/>
    <s v="Strong"/>
    <s v="Average"/>
    <s v="Weak"/>
    <m/>
    <m/>
    <m/>
    <m/>
  </r>
  <r>
    <n v="46"/>
    <s v="Michelle Williams"/>
    <s v="Female"/>
    <n v="20"/>
    <n v="3.3"/>
    <s v="Computer Science"/>
    <s v="Data Science"/>
    <s v="Machine Learning"/>
    <x v="1"/>
    <s v="Average"/>
    <s v="Strong"/>
    <s v="Weak"/>
    <m/>
    <m/>
    <m/>
    <m/>
  </r>
  <r>
    <n v="47"/>
    <s v="Flash Thompson"/>
    <s v="Male"/>
    <n v="22"/>
    <n v="3.7"/>
    <s v="Computer Science"/>
    <s v="Cybersecurity"/>
    <s v="Network Security"/>
    <x v="4"/>
    <s v="Weak"/>
    <s v="Strong"/>
    <s v="Average"/>
    <m/>
    <m/>
    <m/>
    <m/>
  </r>
  <r>
    <n v="48"/>
    <s v="Liz Allan"/>
    <s v="Female"/>
    <n v="21"/>
    <n v="3.5"/>
    <s v="Computer Science"/>
    <s v="Database Management"/>
    <s v="SQL Query Optimization"/>
    <x v="6"/>
    <s v="Average"/>
    <s v="Weak"/>
    <s v="Strong"/>
    <m/>
    <m/>
    <m/>
    <m/>
  </r>
  <r>
    <n v="49"/>
    <s v="Jason Macendale"/>
    <s v="Male"/>
    <n v="23"/>
    <n v="3.8"/>
    <s v="Computer Science"/>
    <s v="Cloud Computing"/>
    <s v="AWS Deployment"/>
    <x v="7"/>
    <s v="Strong"/>
    <s v="Strong"/>
    <s v="Average"/>
    <m/>
    <m/>
    <m/>
    <m/>
  </r>
  <r>
    <n v="50"/>
    <s v="Fred Myers"/>
    <s v="Male"/>
    <n v="22"/>
    <n v="3.6"/>
    <s v="Computer Science"/>
    <s v="Software Development"/>
    <s v="Social Media Platform"/>
    <x v="2"/>
    <s v="Average"/>
    <s v="Weak"/>
    <s v="Strong"/>
    <m/>
    <m/>
    <m/>
    <m/>
  </r>
  <r>
    <n v="51"/>
    <s v="Betty Brant"/>
    <s v="Female"/>
    <n v="21"/>
    <n v="3.7"/>
    <s v="Computer Science"/>
    <s v="Web Development"/>
    <s v="E-commerce Website"/>
    <x v="3"/>
    <s v="Weak"/>
    <s v="Strong"/>
    <s v="Strong"/>
    <m/>
    <m/>
    <m/>
    <m/>
  </r>
  <r>
    <n v="52"/>
    <s v="Ned Leeds"/>
    <s v="Male"/>
    <n v="20"/>
    <n v="3.3"/>
    <s v="Computer Science"/>
    <s v="Mobile App Development"/>
    <s v="Android Game"/>
    <x v="8"/>
    <s v="Average"/>
    <s v="Weak"/>
    <s v="Strong"/>
    <m/>
    <m/>
    <m/>
    <m/>
  </r>
  <r>
    <n v="53"/>
    <s v="Silver Sable"/>
    <s v="Female"/>
    <n v="22"/>
    <n v="3.8"/>
    <s v="Computer Science"/>
    <s v="Computer Graphics"/>
    <s v="3D Modeling"/>
    <x v="9"/>
    <s v="Weak"/>
    <s v="Average"/>
    <s v="Strong"/>
    <m/>
    <m/>
    <m/>
    <m/>
  </r>
  <r>
    <n v="54"/>
    <s v="Black Cat"/>
    <s v="Female"/>
    <n v="21"/>
    <n v="3.6"/>
    <s v="Computer Science"/>
    <s v="Artificial Intelligence"/>
    <s v="Natural Language Processing"/>
    <x v="10"/>
    <s v="Strong"/>
    <s v="Average"/>
    <s v="Weak"/>
    <m/>
    <m/>
    <m/>
    <m/>
  </r>
  <r>
    <n v="55"/>
    <s v="Venom"/>
    <s v="Male"/>
    <n v="20"/>
    <n v="3.3"/>
    <s v="Computer Science"/>
    <s v="Data Science"/>
    <s v="Machine Learning"/>
    <x v="1"/>
    <s v="Average"/>
    <s v="Strong"/>
    <s v="Weak"/>
    <m/>
    <m/>
    <m/>
    <m/>
  </r>
  <r>
    <n v="56"/>
    <s v="Carnage"/>
    <s v="Male"/>
    <n v="22"/>
    <n v="3.7"/>
    <s v="Computer Science"/>
    <s v="Cybersecurity"/>
    <s v="Network Security"/>
    <x v="4"/>
    <s v="Weak"/>
    <s v="Strong"/>
    <s v="Average"/>
    <m/>
    <m/>
    <m/>
    <m/>
  </r>
  <r>
    <n v="57"/>
    <s v="Lizard"/>
    <s v="Male"/>
    <n v="21"/>
    <n v="3.5"/>
    <s v="Computer Science"/>
    <s v="Database Management"/>
    <s v="SQL Query Optimization"/>
    <x v="6"/>
    <s v="Average"/>
    <s v="Weak"/>
    <s v="Strong"/>
    <m/>
    <m/>
    <m/>
    <m/>
  </r>
  <r>
    <n v="58"/>
    <s v="Electro"/>
    <s v="Male"/>
    <n v="23"/>
    <n v="3.8"/>
    <s v="Computer Science"/>
    <s v="Cloud Computing"/>
    <s v="AWS Deployment"/>
    <x v="7"/>
    <s v="Strong"/>
    <s v="Strong"/>
    <s v="Average"/>
    <m/>
    <m/>
    <m/>
    <m/>
  </r>
  <r>
    <n v="59"/>
    <s v="Sandman"/>
    <s v="Male"/>
    <n v="22"/>
    <n v="3.6"/>
    <s v="Computer Science"/>
    <s v="Software Development"/>
    <s v="Social Media Platform"/>
    <x v="2"/>
    <s v="Average"/>
    <s v="Weak"/>
    <s v="Strong"/>
    <m/>
    <m/>
    <m/>
    <m/>
  </r>
  <r>
    <n v="60"/>
    <s v="Mysterio"/>
    <s v="Male"/>
    <n v="20"/>
    <n v="3.3"/>
    <s v="Computer Science"/>
    <s v="Web Development"/>
    <s v="E-commerce Website"/>
    <x v="3"/>
    <s v="Weak"/>
    <s v="Strong"/>
    <s v="Strong"/>
    <m/>
    <m/>
    <m/>
    <m/>
  </r>
  <r>
    <n v="61"/>
    <s v="Rhino"/>
    <s v="Male"/>
    <n v="21"/>
    <n v="3.7"/>
    <s v="Computer Science"/>
    <s v="Mobile App Development"/>
    <s v="Android Game"/>
    <x v="8"/>
    <s v="Average"/>
    <s v="Weak"/>
    <s v="Strong"/>
    <m/>
    <m/>
    <m/>
    <m/>
  </r>
  <r>
    <n v="62"/>
    <s v="Scorpion"/>
    <s v="Male"/>
    <n v="22"/>
    <n v="3.5"/>
    <s v="Computer Science"/>
    <s v="Computer Graphics"/>
    <s v="3D Animation"/>
    <x v="9"/>
    <s v="Weak"/>
    <s v="Average"/>
    <s v="Strong"/>
    <m/>
    <m/>
    <m/>
    <m/>
  </r>
  <r>
    <n v="63"/>
    <s v="Vulture"/>
    <s v="Male"/>
    <n v="23"/>
    <n v="3.8"/>
    <s v="Computer Science"/>
    <s v="Artificial Intelligence"/>
    <s v="Natural Language Processing"/>
    <x v="10"/>
    <s v="Strong"/>
    <s v="Average"/>
    <s v="Weak"/>
    <m/>
    <m/>
    <m/>
    <m/>
  </r>
  <r>
    <n v="64"/>
    <s v="Shocker"/>
    <s v="Male"/>
    <n v="20"/>
    <n v="3.3"/>
    <s v="Computer Science"/>
    <s v="Data Science"/>
    <s v="Machine Learning"/>
    <x v="1"/>
    <s v="Average"/>
    <s v="Strong"/>
    <s v="Weak"/>
    <m/>
    <m/>
    <m/>
    <m/>
  </r>
  <r>
    <n v="65"/>
    <s v="Kraven the Hunter"/>
    <s v="Male"/>
    <n v="22"/>
    <n v="3.7"/>
    <s v="Computer Science"/>
    <s v="Cybersecurity"/>
    <s v="Network Security"/>
    <x v="4"/>
    <s v="Weak"/>
    <s v="Strong"/>
    <s v="Average"/>
    <m/>
    <m/>
    <m/>
    <m/>
  </r>
  <r>
    <n v="66"/>
    <s v="Green Goblin"/>
    <s v="Male"/>
    <n v="21"/>
    <n v="3.5"/>
    <s v="Computer Science"/>
    <s v="Database Management"/>
    <s v="SQL Query Optimization"/>
    <x v="6"/>
    <s v="Average"/>
    <s v="Weak"/>
    <s v="Strong"/>
    <m/>
    <m/>
    <m/>
    <m/>
  </r>
  <r>
    <n v="67"/>
    <s v="Doctor Octopus"/>
    <s v="Male"/>
    <n v="23"/>
    <n v="3.8"/>
    <s v="Computer Science"/>
    <s v="Cloud Computing"/>
    <s v="AWS Deployment"/>
    <x v="7"/>
    <s v="Strong"/>
    <s v="Strong"/>
    <s v="Average"/>
    <m/>
    <m/>
    <m/>
    <m/>
  </r>
  <r>
    <n v="68"/>
    <s v="Morbius"/>
    <s v="Male"/>
    <n v="22"/>
    <n v="3.6"/>
    <s v="Computer Science"/>
    <s v="Software Development"/>
    <s v="Social Media Platform"/>
    <x v="2"/>
    <s v="Average"/>
    <s v="Weak"/>
    <s v="Strong"/>
    <m/>
    <m/>
    <m/>
    <m/>
  </r>
  <r>
    <n v="69"/>
    <s v="Lizard"/>
    <s v="Male"/>
    <n v="20"/>
    <n v="3.3"/>
    <s v="Computer Science"/>
    <s v="Web Development"/>
    <s v="E-commerce Website"/>
    <x v="3"/>
    <s v="Weak"/>
    <s v="Strong"/>
    <s v="Strong"/>
    <m/>
    <m/>
    <m/>
    <m/>
  </r>
  <r>
    <n v="70"/>
    <s v="Hydro-Man"/>
    <s v="Male"/>
    <n v="21"/>
    <n v="3.7"/>
    <s v="Computer Science"/>
    <s v="Mobile App Development"/>
    <s v="Android Game"/>
    <x v="8"/>
    <s v="Average"/>
    <s v="Weak"/>
    <s v="Strong"/>
    <m/>
    <m/>
    <m/>
    <m/>
  </r>
  <r>
    <n v="71"/>
    <s v="Kingpin"/>
    <s v="Male"/>
    <n v="22"/>
    <n v="3.5"/>
    <s v="Computer Science"/>
    <s v="Computer Graphics"/>
    <s v="3D Animation"/>
    <x v="9"/>
    <s v="Weak"/>
    <s v="Average"/>
    <s v="Strong"/>
    <m/>
    <m/>
    <m/>
    <m/>
  </r>
  <r>
    <n v="72"/>
    <s v="Taskmaster"/>
    <s v="Male"/>
    <n v="23"/>
    <n v="3.8"/>
    <s v="Computer Science"/>
    <s v="Artificial Intelligence"/>
    <s v="Natural Language Processing"/>
    <x v="10"/>
    <s v="Strong"/>
    <s v="Average"/>
    <s v="Weak"/>
    <m/>
    <m/>
    <m/>
    <m/>
  </r>
  <r>
    <n v="73"/>
    <s v="MODOK"/>
    <s v="Male"/>
    <n v="20"/>
    <n v="3.3"/>
    <s v="Computer Science"/>
    <s v="Data Science"/>
    <s v="Machine Learning"/>
    <x v="1"/>
    <s v="Average"/>
    <s v="Strong"/>
    <s v="Weak"/>
    <m/>
    <m/>
    <m/>
    <m/>
  </r>
  <r>
    <n v="74"/>
    <s v="AIM"/>
    <s v="Male"/>
    <n v="22"/>
    <n v="3.7"/>
    <s v="Computer Science"/>
    <s v="Cybersecurity"/>
    <s v="Network Security"/>
    <x v="4"/>
    <s v="Weak"/>
    <s v="Strong"/>
    <s v="Average"/>
    <m/>
    <m/>
    <m/>
    <m/>
  </r>
  <r>
    <n v="75"/>
    <s v="Hydra"/>
    <s v="Male"/>
    <n v="21"/>
    <n v="3.5"/>
    <s v="Computer Science"/>
    <s v="Database Management"/>
    <s v="SQL Query Optimization"/>
    <x v="6"/>
    <s v="Average"/>
    <s v="Weak"/>
    <s v="Strong"/>
    <m/>
    <m/>
    <m/>
    <m/>
  </r>
  <r>
    <n v="76"/>
    <s v="AIM"/>
    <s v="Female"/>
    <n v="22"/>
    <n v="3.7"/>
    <s v="Computer Science"/>
    <s v="Cybersecurity"/>
    <s v="Network Security"/>
    <x v="4"/>
    <s v="Weak"/>
    <s v="Strong"/>
    <s v="Average"/>
    <m/>
    <m/>
    <m/>
    <m/>
  </r>
  <r>
    <n v="77"/>
    <s v="Agent Coulson"/>
    <s v="Male"/>
    <n v="35"/>
    <n v="3.9"/>
    <s v="Computer Science"/>
    <s v="Cloud Computing"/>
    <s v="AWS Deployment"/>
    <x v="7"/>
    <s v="Strong"/>
    <s v="Strong"/>
    <s v="Average"/>
    <m/>
    <m/>
    <m/>
    <m/>
  </r>
  <r>
    <n v="78"/>
    <s v="Agent Hill"/>
    <s v="Female"/>
    <n v="33"/>
    <n v="3.8"/>
    <s v="Computer Science"/>
    <s v="Cybersecurity"/>
    <s v="Network Security"/>
    <x v="4"/>
    <s v="Weak"/>
    <s v="Strong"/>
    <s v="Average"/>
    <m/>
    <m/>
    <m/>
    <m/>
  </r>
  <r>
    <n v="79"/>
    <s v="Agent Melinda May"/>
    <s v="Female"/>
    <n v="37"/>
    <n v="3.7"/>
    <s v="Computer Science"/>
    <s v="Database Management"/>
    <s v="SQL Query Optimization"/>
    <x v="6"/>
    <s v="Average"/>
    <s v="Weak"/>
    <s v="Strong"/>
    <m/>
    <m/>
    <m/>
    <m/>
  </r>
  <r>
    <n v="80"/>
    <s v="Agent Daisy Johnson"/>
    <s v="Female"/>
    <n v="29"/>
    <n v="3.6"/>
    <s v="Computer Science"/>
    <s v="Mobile App Development"/>
    <s v="Android Game"/>
    <x v="8"/>
    <s v="Strong"/>
    <s v="Average"/>
    <s v="Strong"/>
    <m/>
    <m/>
    <m/>
    <m/>
  </r>
  <r>
    <n v="81"/>
    <s v="Agent Simmons"/>
    <s v="Female"/>
    <n v="31"/>
    <n v="3.5"/>
    <s v="Computer Science"/>
    <s v="Web Development"/>
    <s v="E-commerce Website"/>
    <x v="3"/>
    <s v="Weak"/>
    <s v="Strong"/>
    <s v="Strong"/>
    <m/>
    <m/>
    <m/>
    <m/>
  </r>
  <r>
    <n v="82"/>
    <s v="Agent Fitz"/>
    <s v="Male"/>
    <n v="35"/>
    <n v="3.9"/>
    <s v="Computer Science"/>
    <s v="Software Development"/>
    <s v="Social Media Platform"/>
    <x v="2"/>
    <s v="Average"/>
    <s v="Weak"/>
    <s v="Strong"/>
    <m/>
    <m/>
    <m/>
    <m/>
  </r>
  <r>
    <n v="83"/>
    <s v="Agent Mack"/>
    <s v="Male"/>
    <n v="37"/>
    <n v="3.8"/>
    <s v="Computer Science"/>
    <s v="Computer Graphics"/>
    <s v="3D Animation"/>
    <x v="9"/>
    <s v="Weak"/>
    <s v="Average"/>
    <s v="Strong"/>
    <m/>
    <m/>
    <m/>
    <m/>
  </r>
  <r>
    <n v="84"/>
    <s v="Agent Bobbi Morse"/>
    <s v="Female"/>
    <n v="29"/>
    <n v="3.7"/>
    <s v="Computer Science"/>
    <s v="Artificial Intelligence"/>
    <s v="Natural Language Processing"/>
    <x v="10"/>
    <s v="Strong"/>
    <s v="Average"/>
    <s v="Weak"/>
    <m/>
    <m/>
    <m/>
    <m/>
  </r>
  <r>
    <n v="85"/>
    <s v="Agent Lance Hunter"/>
    <s v="Male"/>
    <n v="33"/>
    <n v="3.6"/>
    <s v="Computer Science"/>
    <s v="Data Science"/>
    <s v="Machine Learning"/>
    <x v="1"/>
    <s v="Average"/>
    <s v="Strong"/>
    <s v="Weak"/>
    <m/>
    <m/>
    <m/>
    <m/>
  </r>
  <r>
    <n v="86"/>
    <s v="Oliver Davis"/>
    <s v="Male"/>
    <n v="22"/>
    <n v="3.7"/>
    <s v="Computer Science"/>
    <s v="Network Security"/>
    <s v="Firewall Management"/>
    <x v="12"/>
    <s v="Strong"/>
    <s v="Average"/>
    <s v="Weak"/>
    <m/>
    <m/>
    <m/>
    <m/>
  </r>
  <r>
    <n v="87"/>
    <s v="Ava Miller"/>
    <s v="Female"/>
    <n v="21"/>
    <n v="3.6"/>
    <s v="Computer Science"/>
    <s v="Machine Learning"/>
    <s v="Deep Learning Models"/>
    <x v="5"/>
    <s v="Strong"/>
    <s v="Average"/>
    <s v="Weak"/>
    <m/>
    <m/>
    <m/>
    <m/>
  </r>
  <r>
    <n v="88"/>
    <s v="Liam Wilson"/>
    <s v="Male"/>
    <n v="23"/>
    <n v="3.8"/>
    <s v="Computer Science"/>
    <s v="Database Management"/>
    <s v="Data Warehouse Design"/>
    <x v="6"/>
    <s v="Average"/>
    <s v="Strong"/>
    <s v="Weak"/>
    <m/>
    <m/>
    <m/>
    <m/>
  </r>
  <r>
    <n v="89"/>
    <s v="Sophia Johnson"/>
    <s v="Female"/>
    <n v="22"/>
    <n v="3.5"/>
    <s v="Computer Science"/>
    <s v="Software Development"/>
    <s v="Embedded Systems"/>
    <x v="13"/>
    <s v="Weak"/>
    <s v="Strong"/>
    <s v="Average"/>
    <m/>
    <m/>
    <m/>
    <m/>
  </r>
  <r>
    <n v="90"/>
    <s v="Michael Brown"/>
    <s v="Male"/>
    <n v="21"/>
    <n v="3.9"/>
    <s v="Computer Science"/>
    <s v="Web Development"/>
    <s v="Front-End Development"/>
    <x v="3"/>
    <s v="Strong"/>
    <s v="Average"/>
    <s v="Weak"/>
    <m/>
    <m/>
    <m/>
    <m/>
  </r>
  <r>
    <n v="91"/>
    <s v="Emily Lee"/>
    <s v="Female"/>
    <n v="20"/>
    <n v="3.7"/>
    <s v="Computer Science"/>
    <s v="Data Science"/>
    <s v="Statistical Analysis"/>
    <x v="14"/>
    <s v="Strong"/>
    <s v="Average"/>
    <s v="Weak"/>
    <m/>
    <m/>
    <m/>
    <m/>
  </r>
  <r>
    <n v="92"/>
    <s v="William Davis"/>
    <s v="Male"/>
    <n v="22"/>
    <n v="3.4"/>
    <s v="Computer Science"/>
    <s v="Artificial Intelligence"/>
    <s v="Robotics"/>
    <x v="15"/>
    <s v="Strong"/>
    <s v="Strong"/>
    <s v="Weak"/>
    <m/>
    <m/>
    <m/>
    <m/>
  </r>
  <r>
    <n v="93"/>
    <s v="Olivia Brown"/>
    <s v="Female"/>
    <n v="21"/>
    <n v="3.5"/>
    <s v="Computer Science"/>
    <s v="Game Development"/>
    <s v="Mobile Game Development"/>
    <x v="11"/>
    <s v="Weak"/>
    <s v="Strong"/>
    <s v="Average"/>
    <m/>
    <m/>
    <m/>
    <m/>
  </r>
  <r>
    <n v="94"/>
    <s v="John Smith"/>
    <s v="Male"/>
    <n v="23"/>
    <n v="3.6"/>
    <s v="Computer Science"/>
    <s v="Cybersecurity"/>
    <s v="Penetration Testing"/>
    <x v="16"/>
    <s v="Strong"/>
    <s v="Strong"/>
    <s v="Average"/>
    <m/>
    <m/>
    <m/>
    <m/>
  </r>
  <r>
    <n v="95"/>
    <s v="Alice Johnson"/>
    <s v="Female"/>
    <n v="20"/>
    <n v="3.2"/>
    <s v="Computer Science"/>
    <s v="Computer Vision"/>
    <s v="Object Detection"/>
    <x v="17"/>
    <s v="Strong"/>
    <s v="Average"/>
    <s v="Weak"/>
    <m/>
    <m/>
    <m/>
    <m/>
  </r>
  <r>
    <n v="96"/>
    <s v="Robert Davis"/>
    <s v="Male"/>
    <n v="22"/>
    <n v="3.8"/>
    <s v="Computer Science"/>
    <s v="Software Engineering"/>
    <s v="DevOps"/>
    <x v="18"/>
    <s v="Strong"/>
    <s v="Average"/>
    <s v="Weak"/>
    <m/>
    <m/>
    <m/>
    <m/>
  </r>
  <r>
    <n v="97"/>
    <s v="Emily Wilson"/>
    <s v="Female"/>
    <n v="21"/>
    <n v="3.7"/>
    <s v="Computer Science"/>
    <s v="Bioinformatics"/>
    <s v="Genomic Data Analysis"/>
    <x v="19"/>
    <s v="Weak"/>
    <s v="Strong"/>
    <s v="Strong"/>
    <m/>
    <m/>
    <m/>
    <m/>
  </r>
  <r>
    <n v="98"/>
    <s v="Michael Brown"/>
    <s v="Male"/>
    <n v="23"/>
    <n v="3.4"/>
    <s v="Computer Science"/>
    <s v="IoT (Internet of Things)"/>
    <s v="Smart Home Automation"/>
    <x v="20"/>
    <s v="Weak"/>
    <s v="Strong"/>
    <s v="Average"/>
    <m/>
    <m/>
    <m/>
    <m/>
  </r>
  <r>
    <n v="99"/>
    <s v="Laura Lee"/>
    <s v="Female"/>
    <n v="22"/>
    <n v="3.9"/>
    <s v="Computer Science"/>
    <s v="Natural Language Processing"/>
    <s v="Chatbot Development"/>
    <x v="21"/>
    <s v="Strong"/>
    <s v="Average"/>
    <s v="Weak"/>
    <m/>
    <m/>
    <m/>
    <m/>
  </r>
  <r>
    <n v="100"/>
    <s v="William Johnson"/>
    <s v="Male"/>
    <n v="20"/>
    <n v="3.6"/>
    <s v="Computer Science"/>
    <s v="Data Mining"/>
    <s v="Market Analysis"/>
    <x v="14"/>
    <s v="Strong"/>
    <s v="Average"/>
    <s v="Weak"/>
    <m/>
    <m/>
    <m/>
    <m/>
  </r>
  <r>
    <n v="101"/>
    <s v="Sarah Miller"/>
    <s v="Female"/>
    <n v="21"/>
    <n v="3.7"/>
    <s v="Computer Science"/>
    <s v="Cloud Computing"/>
    <s v="Cloud Migration Specialist"/>
    <x v="7"/>
    <s v="Weak"/>
    <s v="Strong"/>
    <s v="Average"/>
    <m/>
    <m/>
    <m/>
    <m/>
  </r>
  <r>
    <n v="102"/>
    <s v="James Wilson"/>
    <s v="Male"/>
    <n v="23"/>
    <n v="3.3"/>
    <s v="Computer Science"/>
    <s v="Human-Computer Interaction"/>
    <s v="Usability Testing"/>
    <x v="22"/>
    <s v="Strong"/>
    <s v="Average"/>
    <s v="Weak"/>
    <m/>
    <m/>
    <m/>
    <m/>
  </r>
  <r>
    <n v="103"/>
    <s v="Olivia Clark"/>
    <s v="Female"/>
    <n v="22"/>
    <n v="3.5"/>
    <s v="Computer Science"/>
    <s v="Biomedical Computing"/>
    <s v="Medical Imaging Analysis"/>
    <x v="23"/>
    <s v="Weak"/>
    <s v="Strong"/>
    <s v="Average"/>
    <m/>
    <m/>
    <m/>
    <m/>
  </r>
  <r>
    <n v="104"/>
    <s v="Andrew Hall"/>
    <s v="Male"/>
    <n v="21"/>
    <n v="3.8"/>
    <s v="Computer Science"/>
    <s v="Quantum Computing"/>
    <s v="Quantum Algorithm Development"/>
    <x v="24"/>
    <s v="Strong"/>
    <s v="Average"/>
    <s v="Weak"/>
    <m/>
    <m/>
    <m/>
    <m/>
  </r>
  <r>
    <n v="105"/>
    <s v="David Jones"/>
    <s v="Male"/>
    <n v="22"/>
    <n v="3.7"/>
    <s v="Computer Science"/>
    <s v="Computer Graphics"/>
    <s v="Virtual Reality Development"/>
    <x v="25"/>
    <s v="Weak"/>
    <s v="Strong"/>
    <s v="Average"/>
    <m/>
    <m/>
    <m/>
    <m/>
  </r>
  <r>
    <n v="106"/>
    <s v="Elizabeth Williams"/>
    <s v="Female"/>
    <n v="21"/>
    <n v="3.3"/>
    <s v="Computer Science"/>
    <s v="Blockchain Technology"/>
    <s v="Smart Contracts Developer"/>
    <x v="26"/>
    <s v="Weak"/>
    <s v="Average"/>
    <s v="Strong"/>
    <m/>
    <m/>
    <m/>
    <m/>
  </r>
  <r>
    <n v="107"/>
    <s v="Charles Miller"/>
    <s v="Male"/>
    <n v="23"/>
    <n v="3.5"/>
    <s v="Computer Science"/>
    <s v="Information Retrieval"/>
    <s v="Search Engine Optimization"/>
    <x v="27"/>
    <s v="Weak"/>
    <s v="Average"/>
    <s v="Strong"/>
    <m/>
    <m/>
    <m/>
    <m/>
  </r>
  <r>
    <n v="108"/>
    <s v="Susan Davis"/>
    <s v="Female"/>
    <n v="22"/>
    <n v="3.8"/>
    <s v="Computer Science"/>
    <s v="Data Privacy"/>
    <s v="Privacy Compliance Officer"/>
    <x v="28"/>
    <s v="Weak"/>
    <s v="Average"/>
    <s v="Strong"/>
    <m/>
    <m/>
    <m/>
    <m/>
  </r>
  <r>
    <n v="109"/>
    <s v="John Brown"/>
    <s v="Male"/>
    <n v="20"/>
    <n v="3.6"/>
    <s v="Computer Science"/>
    <s v="Geographic Information Systems"/>
    <s v="GIS Mapping"/>
    <x v="29"/>
    <s v="Weak"/>
    <s v="Average"/>
    <s v="Strong"/>
    <m/>
    <m/>
    <m/>
    <m/>
  </r>
  <r>
    <n v="110"/>
    <s v="Laura Lee"/>
    <s v="Female"/>
    <n v="21"/>
    <n v="3.9"/>
    <s v="Computer Science"/>
    <s v="Distributed Systems"/>
    <s v="Distributed Systems Architect"/>
    <x v="30"/>
    <s v="Weak"/>
    <s v="Average"/>
    <s v="Strong"/>
    <m/>
    <m/>
    <m/>
    <m/>
  </r>
  <r>
    <n v="111"/>
    <s v="William Johnson"/>
    <s v="Male"/>
    <n v="23"/>
    <n v="3.6"/>
    <s v="Computer Science"/>
    <s v="Digital Forensics"/>
    <s v="Computer Forensic Analyst"/>
    <x v="31"/>
    <s v="Weak"/>
    <s v="Average"/>
    <s v="Strong"/>
    <m/>
    <m/>
    <m/>
    <m/>
  </r>
  <r>
    <n v="112"/>
    <s v="Sarah Miller"/>
    <s v="Female"/>
    <n v="22"/>
    <n v="3.7"/>
    <s v="Computer Science"/>
    <s v="Bioinformatics"/>
    <s v="Protein Structure Prediction"/>
    <x v="19"/>
    <s v="Weak"/>
    <s v="Average"/>
    <s v="Strong"/>
    <m/>
    <m/>
    <m/>
    <m/>
  </r>
  <r>
    <n v="113"/>
    <s v="James Wilson"/>
    <s v="Male"/>
    <n v="20"/>
    <n v="3.3"/>
    <s v="Computer Science"/>
    <s v="Human-Computer Interaction"/>
    <s v="User Experience Researcher"/>
    <x v="22"/>
    <s v="Weak"/>
    <s v="Average"/>
    <s v="Strong"/>
    <m/>
    <m/>
    <m/>
    <m/>
  </r>
  <r>
    <n v="114"/>
    <s v="Olivia Clark"/>
    <s v="Female"/>
    <n v="21"/>
    <n v="3.5"/>
    <s v="Computer Science"/>
    <s v="Biomedical Computing"/>
    <s v="Healthcare Data Analyst"/>
    <x v="23"/>
    <s v="Weak"/>
    <s v="Average"/>
    <s v="Strong"/>
    <m/>
    <m/>
    <m/>
    <m/>
  </r>
  <r>
    <n v="115"/>
    <s v="Andrew Hall"/>
    <s v="Male"/>
    <n v="23"/>
    <n v="3.8"/>
    <s v="Computer Science"/>
    <s v="Quantum Computing"/>
    <s v="Quantum Algorithm Development"/>
    <x v="24"/>
    <s v="Weak"/>
    <s v="Average"/>
    <s v="Strong"/>
    <m/>
    <m/>
    <m/>
    <m/>
  </r>
  <r>
    <n v="116"/>
    <s v="Grace Smith"/>
    <s v="Female"/>
    <n v="20"/>
    <n v="3.6"/>
    <s v="Computer Science"/>
    <s v="Artificial Intelligence"/>
    <s v="Neural Network Development"/>
    <x v="32"/>
    <s v="Strong"/>
    <s v="Average"/>
    <s v="Weak"/>
    <m/>
    <m/>
    <m/>
    <m/>
  </r>
  <r>
    <n v="117"/>
    <s v="Michael Johnson"/>
    <s v="Male"/>
    <n v="22"/>
    <n v="3.4"/>
    <s v="Computer Science"/>
    <s v="Data Science"/>
    <s v="Big Data Analytics"/>
    <x v="14"/>
    <s v="Average"/>
    <s v="Strong"/>
    <s v="Weak"/>
    <m/>
    <m/>
    <m/>
    <m/>
  </r>
  <r>
    <n v="118"/>
    <s v="Olivia Davis"/>
    <s v="Female"/>
    <n v="21"/>
    <n v="3.9"/>
    <s v="Computer Science"/>
    <s v="Software Development"/>
    <s v="Mobile App Development"/>
    <x v="2"/>
    <s v="Strong"/>
    <s v="Strong"/>
    <s v="Average"/>
    <m/>
    <m/>
    <m/>
    <m/>
  </r>
  <r>
    <n v="119"/>
    <s v="William Brown"/>
    <s v="Male"/>
    <n v="23"/>
    <n v="3.7"/>
    <s v="Computer Science"/>
    <s v="Web Development"/>
    <s v="E-commerce Website"/>
    <x v="3"/>
    <s v="Weak"/>
    <s v="Strong"/>
    <s v="Strong"/>
    <m/>
    <m/>
    <m/>
    <m/>
  </r>
  <r>
    <n v="120"/>
    <s v="Emily Wilson"/>
    <s v="Female"/>
    <n v="22"/>
    <n v="3.5"/>
    <s v="Computer Science"/>
    <s v="Cybersecurity"/>
    <s v="Network Security"/>
    <x v="4"/>
    <s v="Average"/>
    <s v="Weak"/>
    <s v="Strong"/>
    <m/>
    <m/>
    <m/>
    <m/>
  </r>
  <r>
    <n v="121"/>
    <s v="David Lee"/>
    <s v="Male"/>
    <n v="21"/>
    <n v="3.8"/>
    <s v="Computer Science"/>
    <s v="Machine Learning"/>
    <s v="Image Classification"/>
    <x v="5"/>
    <s v="Strong"/>
    <s v="Weak"/>
    <s v="Weak"/>
    <m/>
    <m/>
    <m/>
    <m/>
  </r>
  <r>
    <n v="122"/>
    <s v="Sophia Miller"/>
    <s v="Female"/>
    <n v="20"/>
    <n v="3.7"/>
    <s v="Computer Science"/>
    <s v="Database Management"/>
    <s v="SQL Database Design"/>
    <x v="6"/>
    <s v="Weak"/>
    <s v="Strong"/>
    <s v="Average"/>
    <m/>
    <m/>
    <m/>
    <m/>
  </r>
  <r>
    <n v="123"/>
    <s v="James Wilson"/>
    <s v="Male"/>
    <n v="23"/>
    <n v="3.3"/>
    <s v="Computer Science"/>
    <s v="Cloud Computing"/>
    <s v="Cloud Infrastructure Management"/>
    <x v="7"/>
    <s v="Strong"/>
    <s v="Weak"/>
    <s v="Weak"/>
    <m/>
    <m/>
    <m/>
    <m/>
  </r>
  <r>
    <n v="124"/>
    <s v="Emma Clark"/>
    <s v="Female"/>
    <n v="22"/>
    <n v="3.5"/>
    <s v="Computer Science"/>
    <s v="Mobile App Development"/>
    <s v="iOS App Development"/>
    <x v="8"/>
    <s v="Average"/>
    <s v="Strong"/>
    <s v="Weak"/>
    <m/>
    <m/>
    <m/>
    <m/>
  </r>
  <r>
    <n v="125"/>
    <s v="Matthew Hall"/>
    <s v="Male"/>
    <n v="21"/>
    <n v="3.8"/>
    <s v="Computer Science"/>
    <s v="Artificial Intelligence"/>
    <s v="Natural Language Processing"/>
    <x v="10"/>
    <s v="Strong"/>
    <s v="Weak"/>
    <s v="Weak"/>
    <m/>
    <m/>
    <m/>
    <m/>
  </r>
  <r>
    <n v="126"/>
    <s v="Olivia Davis"/>
    <s v="Female"/>
    <n v="22"/>
    <n v="3.7"/>
    <s v="Computer Science"/>
    <s v="Web Development"/>
    <s v="Full-Stack Web App"/>
    <x v="3"/>
    <s v="Weak"/>
    <s v="Strong"/>
    <s v="Strong"/>
    <m/>
    <m/>
    <m/>
    <m/>
  </r>
  <r>
    <n v="127"/>
    <s v="William Smith"/>
    <s v="Male"/>
    <n v="23"/>
    <n v="3.3"/>
    <s v="Computer Science"/>
    <s v="Mobile App Development"/>
    <s v="Android App Development"/>
    <x v="8"/>
    <s v="Average"/>
    <s v="Weak"/>
    <s v="Strong"/>
    <m/>
    <m/>
    <m/>
    <m/>
  </r>
  <r>
    <n v="128"/>
    <s v="Emily Johnson"/>
    <s v="Female"/>
    <n v="20"/>
    <n v="3.5"/>
    <s v="Computer Science"/>
    <s v="Computer Graphics"/>
    <s v="3D Modeling"/>
    <x v="9"/>
    <s v="Weak"/>
    <s v="Average"/>
    <s v="Strong"/>
    <m/>
    <m/>
    <m/>
    <m/>
  </r>
  <r>
    <n v="129"/>
    <s v="David Brown"/>
    <s v="Male"/>
    <n v="22"/>
    <n v="3.8"/>
    <s v="Computer Science"/>
    <s v="Software Engineering"/>
    <s v="Enterprise Software Development"/>
    <x v="2"/>
    <s v="Strong"/>
    <s v="Strong"/>
    <s v="Average"/>
    <m/>
    <m/>
    <m/>
    <m/>
  </r>
  <r>
    <n v="130"/>
    <s v="Sophia Wilson"/>
    <s v="Female"/>
    <n v="21"/>
    <n v="3.7"/>
    <s v="Computer Science"/>
    <s v="Cybersecurity"/>
    <s v="Network Security"/>
    <x v="4"/>
    <s v="Average"/>
    <s v="Weak"/>
    <s v="Strong"/>
    <m/>
    <m/>
    <m/>
    <m/>
  </r>
  <r>
    <n v="131"/>
    <s v="James Miller"/>
    <s v="Male"/>
    <n v="23"/>
    <n v="3.3"/>
    <s v="Computer Science"/>
    <s v="Database Management"/>
    <s v="SQL Query Optimization"/>
    <x v="6"/>
    <s v="Average"/>
    <s v="Strong"/>
    <s v="Weak"/>
    <m/>
    <m/>
    <m/>
    <m/>
  </r>
  <r>
    <n v="132"/>
    <s v="Emma Johnson"/>
    <s v="Female"/>
    <n v="22"/>
    <n v="3.5"/>
    <s v="Computer Science"/>
    <s v="Cloud Computing"/>
    <s v="AWS Deployment"/>
    <x v="7"/>
    <s v="Weak"/>
    <s v="Strong"/>
    <s v="Average"/>
    <m/>
    <m/>
    <m/>
    <m/>
  </r>
  <r>
    <n v="133"/>
    <s v="Matthew Lee"/>
    <s v="Male"/>
    <n v="21"/>
    <n v="3.8"/>
    <s v="Computer Science"/>
    <s v="Artificial Intelligence"/>
    <s v="Computer Vision"/>
    <x v="32"/>
    <s v="Strong"/>
    <s v="Average"/>
    <s v="Weak"/>
    <m/>
    <m/>
    <m/>
    <m/>
  </r>
  <r>
    <n v="134"/>
    <s v="Oliver Davis"/>
    <s v="Male"/>
    <n v="23"/>
    <n v="3.7"/>
    <s v="Computer Science"/>
    <s v="Data Science"/>
    <s v="Machine Learning"/>
    <x v="1"/>
    <s v="Average"/>
    <s v="Strong"/>
    <s v="Weak"/>
    <m/>
    <m/>
    <m/>
    <m/>
  </r>
  <r>
    <n v="135"/>
    <s v="Isabella Brown"/>
    <s v="Female"/>
    <n v="20"/>
    <n v="3.6"/>
    <s v="Computer Science"/>
    <s v="Software Development"/>
    <s v="Web Application Development"/>
    <x v="2"/>
    <s v="Strong"/>
    <s v="Weak"/>
    <s v="Strong"/>
    <m/>
    <m/>
    <m/>
    <m/>
  </r>
  <r>
    <n v="136"/>
    <s v="Elijah Smith"/>
    <s v="Male"/>
    <n v="22"/>
    <n v="3.4"/>
    <s v="Computer Science"/>
    <s v="Web Development"/>
    <s v="E-commerce Website"/>
    <x v="3"/>
    <s v="Weak"/>
    <s v="Strong"/>
    <s v="Strong"/>
    <m/>
    <m/>
    <m/>
    <m/>
  </r>
  <r>
    <n v="137"/>
    <s v="Ava Miller"/>
    <s v="Female"/>
    <n v="21"/>
    <n v="3.9"/>
    <s v="Computer Science"/>
    <s v="Cybersecurity"/>
    <s v="Security Auditing"/>
    <x v="4"/>
    <s v="Strong"/>
    <s v="Average"/>
    <s v="Weak"/>
    <m/>
    <m/>
    <m/>
    <m/>
  </r>
  <r>
    <n v="138"/>
    <s v="Liam Wilson"/>
    <s v="Male"/>
    <n v="23"/>
    <n v="3.7"/>
    <s v="Computer Science"/>
    <s v="Machine Learning"/>
    <s v="Natural Language Processing"/>
    <x v="5"/>
    <s v="Strong"/>
    <s v="Average"/>
    <s v="Weak"/>
    <m/>
    <m/>
    <m/>
    <m/>
  </r>
  <r>
    <n v="139"/>
    <s v="Sophia Johnson"/>
    <s v="Female"/>
    <n v="22"/>
    <n v="3.5"/>
    <s v="Computer Science"/>
    <s v="Database Management"/>
    <s v="SQL Database Administration"/>
    <x v="6"/>
    <s v="Weak"/>
    <s v="Strong"/>
    <s v="Average"/>
    <m/>
    <m/>
    <m/>
    <m/>
  </r>
  <r>
    <n v="140"/>
    <s v="Michael Brown"/>
    <s v="Male"/>
    <n v="21"/>
    <n v="3.8"/>
    <s v="Computer Science"/>
    <s v="Cloud Computing"/>
    <s v="Cloud Solution Architecture"/>
    <x v="7"/>
    <s v="Strong"/>
    <s v="Strong"/>
    <s v="Weak"/>
    <m/>
    <m/>
    <m/>
    <m/>
  </r>
  <r>
    <n v="141"/>
    <s v="Emily Lee"/>
    <s v="Female"/>
    <n v="20"/>
    <n v="3.7"/>
    <s v="Computer Science"/>
    <s v="Mobile App Development"/>
    <s v="Cross-Platform App Development"/>
    <x v="8"/>
    <s v="Weak"/>
    <s v="Strong"/>
    <s v="Average"/>
    <m/>
    <m/>
    <m/>
    <m/>
  </r>
  <r>
    <n v="142"/>
    <s v="William Davis"/>
    <s v="Male"/>
    <n v="23"/>
    <n v="3.3"/>
    <s v="Computer Science"/>
    <s v="Artificial Intelligence"/>
    <s v="Reinforcement Learning"/>
    <x v="32"/>
    <s v="Strong"/>
    <s v="Weak"/>
    <s v="Average"/>
    <m/>
    <m/>
    <m/>
    <m/>
  </r>
  <r>
    <n v="143"/>
    <s v="Olivia Brown"/>
    <s v="Female"/>
    <n v="22"/>
    <n v="3.5"/>
    <s v="Computer Science"/>
    <s v="Data Science"/>
    <s v="Data Mining"/>
    <x v="14"/>
    <s v="Average"/>
    <s v="Weak"/>
    <s v="Strong"/>
    <m/>
    <m/>
    <m/>
    <m/>
  </r>
  <r>
    <n v="144"/>
    <s v="John Smith"/>
    <s v="Male"/>
    <n v="21"/>
    <n v="3.6"/>
    <s v="Computer Science"/>
    <s v="Web Development"/>
    <s v="Front-End Development"/>
    <x v="3"/>
    <s v="Weak"/>
    <s v="Strong"/>
    <s v="Average"/>
    <m/>
    <m/>
    <m/>
    <m/>
  </r>
  <r>
    <n v="145"/>
    <s v="Alice Johnson"/>
    <s v="Female"/>
    <n v="20"/>
    <n v="3.7"/>
    <s v="Computer Science"/>
    <s v="Machine Learning"/>
    <s v="Computer Vision"/>
    <x v="5"/>
    <s v="Strong"/>
    <s v="Average"/>
    <s v="Weak"/>
    <m/>
    <m/>
    <m/>
    <m/>
  </r>
  <r>
    <n v="146"/>
    <s v="Charlotte Davis"/>
    <s v="Female"/>
    <n v="22"/>
    <n v="3.7"/>
    <s v="Computer Science"/>
    <s v="Artificial Intelligence"/>
    <s v="Reinforcement Learning"/>
    <x v="32"/>
    <s v="Strong"/>
    <s v="Average"/>
    <s v="Weak"/>
    <m/>
    <m/>
    <m/>
    <m/>
  </r>
  <r>
    <n v="147"/>
    <s v="Joseph Miller"/>
    <s v="Male"/>
    <n v="21"/>
    <n v="3.6"/>
    <s v="Computer Science"/>
    <s v="Data Science"/>
    <s v="Machine Learning"/>
    <x v="1"/>
    <s v="Strong"/>
    <s v="Average"/>
    <s v="Weak"/>
    <m/>
    <m/>
    <m/>
    <m/>
  </r>
  <r>
    <n v="148"/>
    <s v="Emma Wilson"/>
    <s v="Female"/>
    <n v="20"/>
    <n v="3.8"/>
    <s v="Computer Science"/>
    <s v="Software Development"/>
    <s v="Mobile App Development"/>
    <x v="2"/>
    <s v="Strong"/>
    <s v="Strong"/>
    <s v="Average"/>
    <m/>
    <m/>
    <m/>
    <m/>
  </r>
  <r>
    <n v="149"/>
    <s v="Oliver Brown"/>
    <s v="Male"/>
    <n v="23"/>
    <n v="3.7"/>
    <s v="Computer Science"/>
    <s v="Web Development"/>
    <s v="E-commerce Website"/>
    <x v="3"/>
    <s v="Weak"/>
    <s v="Strong"/>
    <s v="Strong"/>
    <m/>
    <m/>
    <m/>
    <m/>
  </r>
  <r>
    <n v="150"/>
    <s v="Sophia Johnson"/>
    <s v="Female"/>
    <n v="22"/>
    <n v="3.5"/>
    <s v="Computer Science"/>
    <s v="Cybersecurity"/>
    <s v="Network Security"/>
    <x v="4"/>
    <s v="Average"/>
    <s v="Weak"/>
    <s v="Strong"/>
    <m/>
    <m/>
    <m/>
    <m/>
  </r>
  <r>
    <n v="151"/>
    <s v="William Smith"/>
    <s v="Male"/>
    <n v="21"/>
    <n v="3.9"/>
    <s v="Computer Science"/>
    <s v="Machine Learning"/>
    <s v="Image Classification"/>
    <x v="5"/>
    <s v="Strong"/>
    <s v="Average"/>
    <s v="Weak"/>
    <m/>
    <m/>
    <m/>
    <m/>
  </r>
  <r>
    <n v="152"/>
    <s v="Charlotte Davis"/>
    <s v="Female"/>
    <n v="22"/>
    <n v="3.7"/>
    <s v="Computer Science"/>
    <s v="Database Management"/>
    <s v="SQL Database Design"/>
    <x v="6"/>
    <s v="Weak"/>
    <s v="Strong"/>
    <s v="Average"/>
    <m/>
    <m/>
    <m/>
    <m/>
  </r>
  <r>
    <n v="153"/>
    <s v="James Wilson"/>
    <s v="Male"/>
    <n v="20"/>
    <n v="3.6"/>
    <s v="Computer Science"/>
    <s v="Cloud Computing"/>
    <s v="Cloud Infrastructure Management"/>
    <x v="7"/>
    <s v="Strong"/>
    <s v="Weak"/>
    <s v="Weak"/>
    <m/>
    <m/>
    <m/>
    <m/>
  </r>
  <r>
    <n v="154"/>
    <s v="Olivia Clark"/>
    <s v="Female"/>
    <n v="21"/>
    <n v="3.5"/>
    <s v="Computer Science"/>
    <s v="Mobile App Development"/>
    <s v="iOS App Development"/>
    <x v="8"/>
    <s v="Weak"/>
    <s v="Strong"/>
    <s v="Average"/>
    <m/>
    <m/>
    <m/>
    <m/>
  </r>
  <r>
    <n v="155"/>
    <s v="Matthew Hall"/>
    <s v="Male"/>
    <n v="23"/>
    <n v="3.8"/>
    <s v="Computer Science"/>
    <s v="Artificial Intelligence"/>
    <s v="Natural Language Processing"/>
    <x v="10"/>
    <s v="Strong"/>
    <s v="Weak"/>
    <s v="Weak"/>
    <m/>
    <m/>
    <m/>
    <m/>
  </r>
  <r>
    <n v="156"/>
    <s v="Elijah Davis"/>
    <s v="Male"/>
    <n v="22"/>
    <n v="3.7"/>
    <s v="Computer Science"/>
    <s v="Web Development"/>
    <s v="Full-Stack Web App"/>
    <x v="3"/>
    <s v="Weak"/>
    <s v="Strong"/>
    <s v="Strong"/>
    <m/>
    <m/>
    <m/>
    <m/>
  </r>
  <r>
    <n v="157"/>
    <s v="Emma Johnson"/>
    <s v="Female"/>
    <n v="20"/>
    <n v="3.6"/>
    <s v="Computer Science"/>
    <s v="Cybersecurity"/>
    <s v="Security Auditing"/>
    <x v="4"/>
    <s v="Strong"/>
    <s v="Average"/>
    <s v="Weak"/>
    <m/>
    <m/>
    <m/>
    <m/>
  </r>
  <r>
    <n v="158"/>
    <s v="Liam Wilson"/>
    <s v="Male"/>
    <n v="21"/>
    <n v="3.4"/>
    <s v="Computer Science"/>
    <s v="Machine Learning"/>
    <s v="Natural Language Processing"/>
    <x v="5"/>
    <s v="Strong"/>
    <s v="Average"/>
    <s v="Weak"/>
    <m/>
    <m/>
    <m/>
    <m/>
  </r>
  <r>
    <n v="159"/>
    <s v="Sophia Johnson"/>
    <s v="Female"/>
    <n v="22"/>
    <n v="3.5"/>
    <s v="Computer Science"/>
    <s v="Database Management"/>
    <s v="SQL Database Administration"/>
    <x v="6"/>
    <s v="Weak"/>
    <s v="Strong"/>
    <s v="Average"/>
    <m/>
    <m/>
    <m/>
    <m/>
  </r>
  <r>
    <n v="160"/>
    <s v="Michael Brown"/>
    <s v="Male"/>
    <n v="23"/>
    <n v="3.7"/>
    <s v="Computer Science"/>
    <s v="Cloud Computing"/>
    <s v="Cloud Solution Architecture"/>
    <x v="7"/>
    <s v="Strong"/>
    <s v="Strong"/>
    <s v="Weak"/>
    <m/>
    <m/>
    <m/>
    <m/>
  </r>
  <r>
    <n v="161"/>
    <s v="Emily Lee"/>
    <s v="Female"/>
    <n v="20"/>
    <n v="3.8"/>
    <s v="Computer Science"/>
    <s v="Mobile App Development"/>
    <s v="Cross-Platform App Development"/>
    <x v="8"/>
    <s v="Weak"/>
    <s v="Strong"/>
    <s v="Average"/>
    <m/>
    <m/>
    <m/>
    <m/>
  </r>
  <r>
    <n v="162"/>
    <s v="William Davis"/>
    <s v="Male"/>
    <n v="21"/>
    <n v="3.7"/>
    <s v="Computer Science"/>
    <s v="Artificial Intelligence"/>
    <s v="Reinforcement Learning"/>
    <x v="32"/>
    <s v="Strong"/>
    <s v="Weak"/>
    <s v="Average"/>
    <m/>
    <m/>
    <m/>
    <m/>
  </r>
  <r>
    <n v="163"/>
    <s v="Olivia Brown"/>
    <s v="Female"/>
    <n v="22"/>
    <n v="3.5"/>
    <s v="Computer Science"/>
    <s v="Data Science"/>
    <s v="Data Mining"/>
    <x v="14"/>
    <s v="Average"/>
    <s v="Weak"/>
    <s v="Strong"/>
    <m/>
    <m/>
    <m/>
    <m/>
  </r>
  <r>
    <n v="164"/>
    <s v="John Smith"/>
    <s v="Male"/>
    <n v="23"/>
    <n v="3.6"/>
    <s v="Computer Science"/>
    <s v="Web Development"/>
    <s v="Front-End Development"/>
    <x v="3"/>
    <s v="Weak"/>
    <s v="Strong"/>
    <s v="Average"/>
    <m/>
    <m/>
    <m/>
    <m/>
  </r>
  <r>
    <n v="165"/>
    <s v="Alice Johnson"/>
    <s v="Female"/>
    <n v="20"/>
    <n v="3.7"/>
    <s v="Computer Science"/>
    <s v="Machine Learning"/>
    <s v="Computer Vision"/>
    <x v="5"/>
    <s v="Strong"/>
    <s v="Average"/>
    <s v="Weak"/>
    <m/>
    <m/>
    <m/>
    <m/>
  </r>
  <r>
    <n v="166"/>
    <s v="Charlotte Davis"/>
    <s v="Female"/>
    <n v="22"/>
    <n v="3.7"/>
    <s v="Computer Science"/>
    <s v="Artificial Intelligence"/>
    <s v="Neural Network Development"/>
    <x v="32"/>
    <s v="Strong"/>
    <s v="Average"/>
    <s v="Weak"/>
    <m/>
    <m/>
    <m/>
    <m/>
  </r>
  <r>
    <n v="167"/>
    <s v="Joseph Miller"/>
    <s v="Male"/>
    <n v="21"/>
    <n v="3.6"/>
    <s v="Computer Science"/>
    <s v="Data Science"/>
    <s v="Big Data Analytics"/>
    <x v="14"/>
    <s v="Average"/>
    <s v="Strong"/>
    <s v="Weak"/>
    <m/>
    <m/>
    <m/>
    <m/>
  </r>
  <r>
    <n v="168"/>
    <s v="Emma Wilson"/>
    <s v="Female"/>
    <n v="20"/>
    <n v="3.8"/>
    <s v="Computer Science"/>
    <s v="Software Development"/>
    <s v="Mobile App Development"/>
    <x v="2"/>
    <s v="Strong"/>
    <s v="Strong"/>
    <s v="Average"/>
    <m/>
    <m/>
    <m/>
    <m/>
  </r>
  <r>
    <n v="169"/>
    <s v="Oliver Brown"/>
    <s v="Male"/>
    <n v="23"/>
    <n v="3.7"/>
    <s v="Computer Science"/>
    <s v="Web Development"/>
    <s v="E-commerce Website"/>
    <x v="3"/>
    <s v="Weak"/>
    <s v="Strong"/>
    <s v="Strong"/>
    <m/>
    <m/>
    <m/>
    <m/>
  </r>
  <r>
    <n v="170"/>
    <s v="Sophia Johnson"/>
    <s v="Female"/>
    <n v="22"/>
    <n v="3.5"/>
    <s v="Computer Science"/>
    <s v="Cybersecurity"/>
    <s v="Network Security"/>
    <x v="4"/>
    <s v="Average"/>
    <s v="Weak"/>
    <s v="Strong"/>
    <m/>
    <m/>
    <m/>
    <m/>
  </r>
  <r>
    <n v="171"/>
    <s v="William Smith"/>
    <s v="Male"/>
    <n v="21"/>
    <n v="3.9"/>
    <s v="Computer Science"/>
    <s v="Machine Learning"/>
    <s v="Image Classification"/>
    <x v="5"/>
    <s v="Strong"/>
    <s v="Average"/>
    <s v="Weak"/>
    <m/>
    <m/>
    <m/>
    <m/>
  </r>
  <r>
    <n v="172"/>
    <s v="Charlotte Davis"/>
    <s v="Female"/>
    <n v="22"/>
    <n v="3.7"/>
    <s v="Computer Science"/>
    <s v="Database Management"/>
    <s v="SQL Database Design"/>
    <x v="6"/>
    <s v="Weak"/>
    <s v="Strong"/>
    <s v="Average"/>
    <m/>
    <m/>
    <m/>
    <m/>
  </r>
  <r>
    <n v="173"/>
    <s v="James Wilson"/>
    <s v="Male"/>
    <n v="20"/>
    <n v="3.6"/>
    <s v="Computer Science"/>
    <s v="Cloud Computing"/>
    <s v="Cloud Infrastructure Management"/>
    <x v="7"/>
    <s v="Strong"/>
    <s v="Weak"/>
    <s v="Weak"/>
    <m/>
    <m/>
    <m/>
    <m/>
  </r>
  <r>
    <n v="174"/>
    <s v="Olivia Clark"/>
    <s v="Female"/>
    <n v="21"/>
    <n v="3.5"/>
    <s v="Computer Science"/>
    <s v="Mobile App Development"/>
    <s v="iOS App Development"/>
    <x v="8"/>
    <s v="Weak"/>
    <s v="Strong"/>
    <s v="Average"/>
    <m/>
    <m/>
    <m/>
    <m/>
  </r>
  <r>
    <n v="175"/>
    <s v="Matthew Hall"/>
    <s v="Male"/>
    <n v="23"/>
    <n v="3.8"/>
    <s v="Computer Science"/>
    <s v="Artificial Intelligence"/>
    <s v="Natural Language Processing"/>
    <x v="10"/>
    <s v="Strong"/>
    <s v="Weak"/>
    <s v="Weak"/>
    <m/>
    <m/>
    <m/>
    <m/>
  </r>
  <r>
    <n v="176"/>
    <s v="Elijah Davis"/>
    <s v="Male"/>
    <n v="22"/>
    <n v="3.7"/>
    <s v="Computer Science"/>
    <s v="Web Development"/>
    <s v="Full-Stack Web App"/>
    <x v="3"/>
    <s v="Weak"/>
    <s v="Strong"/>
    <s v="Strong"/>
    <m/>
    <m/>
    <m/>
    <m/>
  </r>
  <r>
    <n v="177"/>
    <s v="Emma Johnson"/>
    <s v="Female"/>
    <n v="20"/>
    <n v="3.6"/>
    <s v="Computer Science"/>
    <s v="Cybersecurity"/>
    <s v="Security Auditing"/>
    <x v="4"/>
    <s v="Strong"/>
    <s v="Average"/>
    <s v="Weak"/>
    <m/>
    <m/>
    <m/>
    <m/>
  </r>
  <r>
    <n v="178"/>
    <s v="Liam Wilson"/>
    <s v="Male"/>
    <n v="21"/>
    <n v="3.4"/>
    <s v="Computer Science"/>
    <s v="Machine Learning"/>
    <s v="Natural Language Processing"/>
    <x v="5"/>
    <s v="Strong"/>
    <s v="Average"/>
    <s v="Weak"/>
    <m/>
    <m/>
    <m/>
    <m/>
  </r>
  <r>
    <n v="179"/>
    <s v="Sophia Johnson"/>
    <s v="Female"/>
    <n v="22"/>
    <n v="3.5"/>
    <s v="Computer Science"/>
    <s v="Database Management"/>
    <s v="SQL Database Administration"/>
    <x v="6"/>
    <s v="Weak"/>
    <s v="Strong"/>
    <s v="Average"/>
    <m/>
    <m/>
    <m/>
    <m/>
  </r>
  <r>
    <n v="180"/>
    <s v="Michael Brown"/>
    <s v="Male"/>
    <n v="23"/>
    <n v="3.7"/>
    <s v="Computer Science"/>
    <s v="Cloud Computing"/>
    <s v="Cloud Solution Architecture"/>
    <x v="7"/>
    <s v="Strong"/>
    <s v="Strong"/>
    <s v="Weak"/>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
    <s v="John Smith"/>
    <x v="0"/>
    <x v="0"/>
    <n v="3.5"/>
    <x v="0"/>
    <s v="Computer Science"/>
    <x v="0"/>
    <s v="Chatbot Development"/>
    <x v="0"/>
    <x v="0"/>
    <x v="0"/>
    <x v="0"/>
  </r>
  <r>
    <n v="2"/>
    <s v="Alice Johnson"/>
    <x v="1"/>
    <x v="1"/>
    <n v="3.2"/>
    <x v="1"/>
    <s v="Computer Science"/>
    <x v="1"/>
    <s v="Data Analytics"/>
    <x v="1"/>
    <x v="1"/>
    <x v="0"/>
    <x v="0"/>
  </r>
  <r>
    <n v="3"/>
    <s v="Robert Davis"/>
    <x v="0"/>
    <x v="2"/>
    <n v="3.8"/>
    <x v="0"/>
    <s v="Computer Science"/>
    <x v="2"/>
    <s v="E-commerce Website"/>
    <x v="2"/>
    <x v="0"/>
    <x v="0"/>
    <x v="1"/>
  </r>
  <r>
    <n v="4"/>
    <s v="Emily Wilson"/>
    <x v="1"/>
    <x v="0"/>
    <n v="3.7"/>
    <x v="0"/>
    <s v="Computer Science"/>
    <x v="3"/>
    <s v="Full-Stack Web App"/>
    <x v="3"/>
    <x v="2"/>
    <x v="0"/>
    <x v="2"/>
  </r>
  <r>
    <n v="5"/>
    <s v="Michael Brown"/>
    <x v="0"/>
    <x v="3"/>
    <n v="3.4"/>
    <x v="1"/>
    <s v="Computer Science"/>
    <x v="4"/>
    <s v="Network Security"/>
    <x v="4"/>
    <x v="1"/>
    <x v="1"/>
    <x v="2"/>
  </r>
  <r>
    <n v="6"/>
    <s v="Laura Lee"/>
    <x v="1"/>
    <x v="2"/>
    <n v="3.9"/>
    <x v="0"/>
    <s v="Computer Science"/>
    <x v="5"/>
    <s v="Image Recognition"/>
    <x v="5"/>
    <x v="0"/>
    <x v="2"/>
    <x v="0"/>
  </r>
  <r>
    <n v="7"/>
    <s v="William Johnson"/>
    <x v="0"/>
    <x v="1"/>
    <n v="3.6"/>
    <x v="0"/>
    <s v="Computer Science"/>
    <x v="6"/>
    <s v="SQL Query Optimization"/>
    <x v="6"/>
    <x v="1"/>
    <x v="0"/>
    <x v="0"/>
  </r>
  <r>
    <n v="8"/>
    <s v="Sarah Miller"/>
    <x v="1"/>
    <x v="0"/>
    <n v="3.7"/>
    <x v="0"/>
    <s v="Computer Science"/>
    <x v="7"/>
    <s v="AWS Deployment"/>
    <x v="7"/>
    <x v="2"/>
    <x v="0"/>
    <x v="1"/>
  </r>
  <r>
    <n v="9"/>
    <s v="James Wilson"/>
    <x v="0"/>
    <x v="3"/>
    <n v="3.3"/>
    <x v="1"/>
    <s v="Computer Science"/>
    <x v="8"/>
    <s v="Android App"/>
    <x v="8"/>
    <x v="1"/>
    <x v="1"/>
    <x v="2"/>
  </r>
  <r>
    <n v="10"/>
    <s v="Olivia Clark"/>
    <x v="1"/>
    <x v="2"/>
    <n v="3.5"/>
    <x v="0"/>
    <s v="Computer Science"/>
    <x v="9"/>
    <s v="3D Rendering"/>
    <x v="9"/>
    <x v="2"/>
    <x v="2"/>
    <x v="2"/>
  </r>
  <r>
    <n v="11"/>
    <s v="Andrew Hall"/>
    <x v="0"/>
    <x v="0"/>
    <n v="3.8"/>
    <x v="0"/>
    <s v="Computer Science"/>
    <x v="0"/>
    <s v="Natural Language Processing"/>
    <x v="10"/>
    <x v="0"/>
    <x v="2"/>
    <x v="0"/>
  </r>
  <r>
    <n v="12"/>
    <s v="David Jones"/>
    <x v="0"/>
    <x v="2"/>
    <n v="3.7"/>
    <x v="0"/>
    <s v="Computer Science"/>
    <x v="3"/>
    <s v="Full-Stack Web App"/>
    <x v="3"/>
    <x v="0"/>
    <x v="0"/>
    <x v="1"/>
  </r>
  <r>
    <n v="13"/>
    <s v="Elizabeth Williams"/>
    <x v="1"/>
    <x v="0"/>
    <n v="3.3"/>
    <x v="1"/>
    <s v="Computer Science"/>
    <x v="8"/>
    <s v="iOS App"/>
    <x v="8"/>
    <x v="1"/>
    <x v="1"/>
    <x v="2"/>
  </r>
  <r>
    <n v="14"/>
    <s v="Charles Miller"/>
    <x v="0"/>
    <x v="3"/>
    <n v="3.5"/>
    <x v="0"/>
    <s v="Computer Science"/>
    <x v="9"/>
    <s v="Game Development"/>
    <x v="11"/>
    <x v="2"/>
    <x v="2"/>
    <x v="2"/>
  </r>
  <r>
    <n v="15"/>
    <s v="Susan Davis"/>
    <x v="1"/>
    <x v="2"/>
    <n v="3.8"/>
    <x v="0"/>
    <s v="Computer Science"/>
    <x v="10"/>
    <s v="E-commerce Website"/>
    <x v="2"/>
    <x v="0"/>
    <x v="0"/>
    <x v="1"/>
  </r>
  <r>
    <n v="16"/>
    <s v="John Brown"/>
    <x v="0"/>
    <x v="1"/>
    <n v="3.6"/>
    <x v="0"/>
    <s v="Computer Science"/>
    <x v="4"/>
    <s v="Network Security"/>
    <x v="4"/>
    <x v="1"/>
    <x v="1"/>
    <x v="2"/>
  </r>
  <r>
    <n v="17"/>
    <s v="Laura Lee"/>
    <x v="1"/>
    <x v="0"/>
    <n v="3.9"/>
    <x v="0"/>
    <s v="Computer Science"/>
    <x v="5"/>
    <s v="Image Recognition"/>
    <x v="5"/>
    <x v="0"/>
    <x v="2"/>
    <x v="0"/>
  </r>
  <r>
    <n v="18"/>
    <s v="William Johnson"/>
    <x v="0"/>
    <x v="3"/>
    <n v="3.6"/>
    <x v="0"/>
    <s v="Computer Science"/>
    <x v="6"/>
    <s v="SQL Query Optimization"/>
    <x v="6"/>
    <x v="1"/>
    <x v="0"/>
    <x v="0"/>
  </r>
  <r>
    <n v="19"/>
    <s v="Sarah Miller"/>
    <x v="1"/>
    <x v="2"/>
    <n v="3.7"/>
    <x v="0"/>
    <s v="Computer Science"/>
    <x v="7"/>
    <s v="AWS Deployment"/>
    <x v="7"/>
    <x v="2"/>
    <x v="0"/>
    <x v="1"/>
  </r>
  <r>
    <n v="20"/>
    <s v="James Wilson"/>
    <x v="0"/>
    <x v="1"/>
    <n v="3.3"/>
    <x v="1"/>
    <s v="Computer Science"/>
    <x v="8"/>
    <s v="Android App"/>
    <x v="8"/>
    <x v="1"/>
    <x v="1"/>
    <x v="2"/>
  </r>
  <r>
    <n v="21"/>
    <s v="Olivia Clark"/>
    <x v="1"/>
    <x v="0"/>
    <n v="3.5"/>
    <x v="0"/>
    <s v="Computer Science"/>
    <x v="9"/>
    <s v="3D Rendering"/>
    <x v="9"/>
    <x v="2"/>
    <x v="2"/>
    <x v="2"/>
  </r>
  <r>
    <n v="22"/>
    <s v="Andrew Hall"/>
    <x v="0"/>
    <x v="3"/>
    <n v="3.8"/>
    <x v="0"/>
    <s v="Computer Science"/>
    <x v="0"/>
    <s v="Natural Language Processing"/>
    <x v="10"/>
    <x v="0"/>
    <x v="2"/>
    <x v="0"/>
  </r>
  <r>
    <n v="23"/>
    <s v="David Jones"/>
    <x v="0"/>
    <x v="2"/>
    <n v="3.7"/>
    <x v="0"/>
    <s v="Computer Science"/>
    <x v="3"/>
    <s v="Full-Stack Web App"/>
    <x v="3"/>
    <x v="0"/>
    <x v="0"/>
    <x v="1"/>
  </r>
  <r>
    <n v="24"/>
    <s v="Elizabeth Williams"/>
    <x v="1"/>
    <x v="0"/>
    <n v="3.3"/>
    <x v="1"/>
    <s v="Computer Science"/>
    <x v="8"/>
    <s v="iOS App"/>
    <x v="8"/>
    <x v="1"/>
    <x v="1"/>
    <x v="2"/>
  </r>
  <r>
    <n v="25"/>
    <s v="Charles Miller"/>
    <x v="0"/>
    <x v="3"/>
    <n v="3.5"/>
    <x v="0"/>
    <s v="Computer Science"/>
    <x v="9"/>
    <s v="Game Development"/>
    <x v="11"/>
    <x v="2"/>
    <x v="2"/>
    <x v="2"/>
  </r>
  <r>
    <n v="26"/>
    <s v="Susan Davis"/>
    <x v="1"/>
    <x v="2"/>
    <n v="3.8"/>
    <x v="0"/>
    <s v="Computer Science"/>
    <x v="10"/>
    <s v="E-commerce Website"/>
    <x v="2"/>
    <x v="0"/>
    <x v="0"/>
    <x v="1"/>
  </r>
  <r>
    <n v="27"/>
    <s v="John Brown"/>
    <x v="0"/>
    <x v="1"/>
    <n v="3.6"/>
    <x v="0"/>
    <s v="Computer Science"/>
    <x v="4"/>
    <s v="Network Security"/>
    <x v="4"/>
    <x v="1"/>
    <x v="1"/>
    <x v="2"/>
  </r>
  <r>
    <n v="28"/>
    <s v="Laura Lee"/>
    <x v="1"/>
    <x v="0"/>
    <n v="3.9"/>
    <x v="0"/>
    <s v="Computer Science"/>
    <x v="5"/>
    <s v="Image Recognition"/>
    <x v="5"/>
    <x v="0"/>
    <x v="2"/>
    <x v="0"/>
  </r>
  <r>
    <n v="29"/>
    <s v="William Johnson"/>
    <x v="0"/>
    <x v="3"/>
    <n v="3.6"/>
    <x v="0"/>
    <s v="Computer Science"/>
    <x v="6"/>
    <s v="SQL Query Optimization"/>
    <x v="6"/>
    <x v="1"/>
    <x v="0"/>
    <x v="0"/>
  </r>
  <r>
    <n v="30"/>
    <s v="Sarah Miller"/>
    <x v="1"/>
    <x v="2"/>
    <n v="3.7"/>
    <x v="0"/>
    <s v="Computer Science"/>
    <x v="7"/>
    <s v="AWS Deployment"/>
    <x v="7"/>
    <x v="2"/>
    <x v="0"/>
    <x v="1"/>
  </r>
  <r>
    <n v="31"/>
    <s v="James Wilson"/>
    <x v="0"/>
    <x v="1"/>
    <n v="3.3"/>
    <x v="1"/>
    <s v="Computer Science"/>
    <x v="8"/>
    <s v="Android App"/>
    <x v="8"/>
    <x v="1"/>
    <x v="1"/>
    <x v="2"/>
  </r>
  <r>
    <n v="32"/>
    <s v="Olivia Clark"/>
    <x v="1"/>
    <x v="0"/>
    <n v="3.5"/>
    <x v="0"/>
    <s v="Computer Science"/>
    <x v="9"/>
    <s v="3D Rendering"/>
    <x v="9"/>
    <x v="2"/>
    <x v="2"/>
    <x v="2"/>
  </r>
  <r>
    <n v="33"/>
    <s v="Andrew Hall"/>
    <x v="0"/>
    <x v="3"/>
    <n v="3.8"/>
    <x v="0"/>
    <s v="Computer Science"/>
    <x v="0"/>
    <s v="Natural Language Processing"/>
    <x v="10"/>
    <x v="0"/>
    <x v="2"/>
    <x v="0"/>
  </r>
  <r>
    <n v="34"/>
    <s v="David Jones"/>
    <x v="0"/>
    <x v="2"/>
    <n v="3.7"/>
    <x v="0"/>
    <s v="Computer Science"/>
    <x v="3"/>
    <s v="Full-Stack Web App"/>
    <x v="3"/>
    <x v="0"/>
    <x v="0"/>
    <x v="1"/>
  </r>
  <r>
    <n v="35"/>
    <s v="Elizabeth Williams"/>
    <x v="1"/>
    <x v="0"/>
    <n v="3.3"/>
    <x v="1"/>
    <s v="Computer Science"/>
    <x v="8"/>
    <s v="iOS App"/>
    <x v="8"/>
    <x v="1"/>
    <x v="1"/>
    <x v="2"/>
  </r>
  <r>
    <n v="36"/>
    <s v="Charles Miller"/>
    <x v="0"/>
    <x v="3"/>
    <n v="3.5"/>
    <x v="0"/>
    <s v="Computer Science"/>
    <x v="9"/>
    <s v="Game Development"/>
    <x v="11"/>
    <x v="2"/>
    <x v="2"/>
    <x v="2"/>
  </r>
  <r>
    <n v="37"/>
    <s v="Susan Davis"/>
    <x v="1"/>
    <x v="2"/>
    <n v="3.8"/>
    <x v="0"/>
    <s v="Computer Science"/>
    <x v="10"/>
    <s v="E-commerce Website"/>
    <x v="2"/>
    <x v="0"/>
    <x v="0"/>
    <x v="1"/>
  </r>
  <r>
    <n v="38"/>
    <s v="John Brown"/>
    <x v="0"/>
    <x v="1"/>
    <n v="3.6"/>
    <x v="0"/>
    <s v="Computer Science"/>
    <x v="4"/>
    <s v="Network Security"/>
    <x v="4"/>
    <x v="1"/>
    <x v="1"/>
    <x v="2"/>
  </r>
  <r>
    <n v="39"/>
    <s v="Laura Lee"/>
    <x v="1"/>
    <x v="0"/>
    <n v="3.9"/>
    <x v="0"/>
    <s v="Computer Science"/>
    <x v="5"/>
    <s v="Image Recognition"/>
    <x v="5"/>
    <x v="0"/>
    <x v="2"/>
    <x v="0"/>
  </r>
  <r>
    <n v="40"/>
    <s v="Jessica Jones"/>
    <x v="1"/>
    <x v="2"/>
    <n v="3.6"/>
    <x v="0"/>
    <s v="Computer Science"/>
    <x v="7"/>
    <s v="GCP Deployment"/>
    <x v="7"/>
    <x v="0"/>
    <x v="0"/>
    <x v="1"/>
  </r>
  <r>
    <n v="41"/>
    <s v="Peter Parker"/>
    <x v="0"/>
    <x v="1"/>
    <n v="3.3"/>
    <x v="1"/>
    <s v="Computer Science"/>
    <x v="2"/>
    <s v="Social Media Platform"/>
    <x v="2"/>
    <x v="1"/>
    <x v="1"/>
    <x v="2"/>
  </r>
  <r>
    <n v="42"/>
    <s v="Mary Jane Watson"/>
    <x v="1"/>
    <x v="0"/>
    <n v="3.7"/>
    <x v="0"/>
    <s v="Computer Science"/>
    <x v="3"/>
    <s v="E-commerce Website"/>
    <x v="3"/>
    <x v="2"/>
    <x v="0"/>
    <x v="2"/>
  </r>
  <r>
    <n v="43"/>
    <s v="Harry Osborn"/>
    <x v="0"/>
    <x v="3"/>
    <n v="3.5"/>
    <x v="0"/>
    <s v="Computer Science"/>
    <x v="8"/>
    <s v="iOS Game"/>
    <x v="8"/>
    <x v="1"/>
    <x v="1"/>
    <x v="2"/>
  </r>
  <r>
    <n v="44"/>
    <s v="Gwen Stacy"/>
    <x v="1"/>
    <x v="2"/>
    <n v="3.8"/>
    <x v="0"/>
    <s v="Computer Science"/>
    <x v="9"/>
    <s v="3D Animation"/>
    <x v="9"/>
    <x v="2"/>
    <x v="2"/>
    <x v="2"/>
  </r>
  <r>
    <n v="45"/>
    <s v="Eddie Brock"/>
    <x v="0"/>
    <x v="0"/>
    <n v="3.6"/>
    <x v="0"/>
    <s v="Computer Science"/>
    <x v="0"/>
    <s v="Natural Language Processing"/>
    <x v="10"/>
    <x v="0"/>
    <x v="2"/>
    <x v="0"/>
  </r>
  <r>
    <n v="46"/>
    <s v="Michelle Williams"/>
    <x v="1"/>
    <x v="1"/>
    <n v="3.3"/>
    <x v="1"/>
    <s v="Computer Science"/>
    <x v="1"/>
    <s v="Machine Learning"/>
    <x v="1"/>
    <x v="1"/>
    <x v="0"/>
    <x v="0"/>
  </r>
  <r>
    <n v="47"/>
    <s v="Flash Thompson"/>
    <x v="0"/>
    <x v="2"/>
    <n v="3.7"/>
    <x v="0"/>
    <s v="Computer Science"/>
    <x v="4"/>
    <s v="Network Security"/>
    <x v="4"/>
    <x v="2"/>
    <x v="0"/>
    <x v="1"/>
  </r>
  <r>
    <n v="48"/>
    <s v="Liz Allan"/>
    <x v="1"/>
    <x v="0"/>
    <n v="3.5"/>
    <x v="0"/>
    <s v="Computer Science"/>
    <x v="6"/>
    <s v="SQL Query Optimization"/>
    <x v="6"/>
    <x v="1"/>
    <x v="1"/>
    <x v="2"/>
  </r>
  <r>
    <n v="49"/>
    <s v="Jason Macendale"/>
    <x v="0"/>
    <x v="3"/>
    <n v="3.8"/>
    <x v="0"/>
    <s v="Computer Science"/>
    <x v="7"/>
    <s v="AWS Deployment"/>
    <x v="7"/>
    <x v="0"/>
    <x v="0"/>
    <x v="1"/>
  </r>
  <r>
    <n v="50"/>
    <s v="Fred Myers"/>
    <x v="0"/>
    <x v="2"/>
    <n v="3.6"/>
    <x v="0"/>
    <s v="Computer Science"/>
    <x v="2"/>
    <s v="Social Media Platform"/>
    <x v="2"/>
    <x v="1"/>
    <x v="1"/>
    <x v="2"/>
  </r>
  <r>
    <n v="51"/>
    <s v="Betty Brant"/>
    <x v="1"/>
    <x v="0"/>
    <n v="3.7"/>
    <x v="0"/>
    <s v="Computer Science"/>
    <x v="3"/>
    <s v="E-commerce Website"/>
    <x v="3"/>
    <x v="2"/>
    <x v="0"/>
    <x v="2"/>
  </r>
  <r>
    <n v="52"/>
    <s v="Ned Leeds"/>
    <x v="0"/>
    <x v="1"/>
    <n v="3.3"/>
    <x v="1"/>
    <s v="Computer Science"/>
    <x v="8"/>
    <s v="Android Game"/>
    <x v="8"/>
    <x v="1"/>
    <x v="1"/>
    <x v="2"/>
  </r>
  <r>
    <n v="53"/>
    <s v="Silver Sable"/>
    <x v="1"/>
    <x v="2"/>
    <n v="3.8"/>
    <x v="0"/>
    <s v="Computer Science"/>
    <x v="9"/>
    <s v="3D Modeling"/>
    <x v="9"/>
    <x v="2"/>
    <x v="2"/>
    <x v="2"/>
  </r>
  <r>
    <n v="54"/>
    <s v="Black Cat"/>
    <x v="1"/>
    <x v="0"/>
    <n v="3.6"/>
    <x v="0"/>
    <s v="Computer Science"/>
    <x v="0"/>
    <s v="Natural Language Processing"/>
    <x v="10"/>
    <x v="0"/>
    <x v="2"/>
    <x v="0"/>
  </r>
  <r>
    <n v="55"/>
    <s v="Venom"/>
    <x v="0"/>
    <x v="1"/>
    <n v="3.3"/>
    <x v="1"/>
    <s v="Computer Science"/>
    <x v="1"/>
    <s v="Machine Learning"/>
    <x v="1"/>
    <x v="1"/>
    <x v="0"/>
    <x v="0"/>
  </r>
  <r>
    <n v="56"/>
    <s v="Carnage"/>
    <x v="0"/>
    <x v="2"/>
    <n v="3.7"/>
    <x v="0"/>
    <s v="Computer Science"/>
    <x v="4"/>
    <s v="Network Security"/>
    <x v="4"/>
    <x v="2"/>
    <x v="0"/>
    <x v="1"/>
  </r>
  <r>
    <n v="57"/>
    <s v="Lizard"/>
    <x v="0"/>
    <x v="0"/>
    <n v="3.5"/>
    <x v="0"/>
    <s v="Computer Science"/>
    <x v="6"/>
    <s v="SQL Query Optimization"/>
    <x v="6"/>
    <x v="1"/>
    <x v="1"/>
    <x v="2"/>
  </r>
  <r>
    <n v="58"/>
    <s v="Electro"/>
    <x v="0"/>
    <x v="3"/>
    <n v="3.8"/>
    <x v="0"/>
    <s v="Computer Science"/>
    <x v="7"/>
    <s v="AWS Deployment"/>
    <x v="7"/>
    <x v="0"/>
    <x v="0"/>
    <x v="1"/>
  </r>
  <r>
    <n v="59"/>
    <s v="Sandman"/>
    <x v="0"/>
    <x v="2"/>
    <n v="3.6"/>
    <x v="0"/>
    <s v="Computer Science"/>
    <x v="2"/>
    <s v="Social Media Platform"/>
    <x v="2"/>
    <x v="1"/>
    <x v="1"/>
    <x v="2"/>
  </r>
  <r>
    <n v="60"/>
    <s v="Mysterio"/>
    <x v="0"/>
    <x v="1"/>
    <n v="3.3"/>
    <x v="1"/>
    <s v="Computer Science"/>
    <x v="3"/>
    <s v="E-commerce Website"/>
    <x v="3"/>
    <x v="2"/>
    <x v="0"/>
    <x v="2"/>
  </r>
  <r>
    <n v="61"/>
    <s v="Rhino"/>
    <x v="0"/>
    <x v="0"/>
    <n v="3.7"/>
    <x v="0"/>
    <s v="Computer Science"/>
    <x v="8"/>
    <s v="Android Game"/>
    <x v="8"/>
    <x v="1"/>
    <x v="1"/>
    <x v="2"/>
  </r>
  <r>
    <n v="62"/>
    <s v="Scorpion"/>
    <x v="0"/>
    <x v="2"/>
    <n v="3.5"/>
    <x v="0"/>
    <s v="Computer Science"/>
    <x v="9"/>
    <s v="3D Animation"/>
    <x v="9"/>
    <x v="2"/>
    <x v="2"/>
    <x v="2"/>
  </r>
  <r>
    <n v="63"/>
    <s v="Vulture"/>
    <x v="0"/>
    <x v="3"/>
    <n v="3.8"/>
    <x v="0"/>
    <s v="Computer Science"/>
    <x v="0"/>
    <s v="Natural Language Processing"/>
    <x v="10"/>
    <x v="0"/>
    <x v="2"/>
    <x v="0"/>
  </r>
  <r>
    <n v="64"/>
    <s v="Shocker"/>
    <x v="0"/>
    <x v="1"/>
    <n v="3.3"/>
    <x v="1"/>
    <s v="Computer Science"/>
    <x v="1"/>
    <s v="Machine Learning"/>
    <x v="1"/>
    <x v="1"/>
    <x v="0"/>
    <x v="0"/>
  </r>
  <r>
    <n v="65"/>
    <s v="Kraven the Hunter"/>
    <x v="0"/>
    <x v="2"/>
    <n v="3.7"/>
    <x v="0"/>
    <s v="Computer Science"/>
    <x v="4"/>
    <s v="Network Security"/>
    <x v="4"/>
    <x v="2"/>
    <x v="0"/>
    <x v="1"/>
  </r>
  <r>
    <n v="66"/>
    <s v="Green Goblin"/>
    <x v="0"/>
    <x v="0"/>
    <n v="3.5"/>
    <x v="0"/>
    <s v="Computer Science"/>
    <x v="6"/>
    <s v="SQL Query Optimization"/>
    <x v="6"/>
    <x v="1"/>
    <x v="1"/>
    <x v="2"/>
  </r>
  <r>
    <n v="67"/>
    <s v="Doctor Octopus"/>
    <x v="0"/>
    <x v="3"/>
    <n v="3.8"/>
    <x v="0"/>
    <s v="Computer Science"/>
    <x v="7"/>
    <s v="AWS Deployment"/>
    <x v="7"/>
    <x v="0"/>
    <x v="0"/>
    <x v="1"/>
  </r>
  <r>
    <n v="68"/>
    <s v="Morbius"/>
    <x v="0"/>
    <x v="2"/>
    <n v="3.6"/>
    <x v="0"/>
    <s v="Computer Science"/>
    <x v="2"/>
    <s v="Social Media Platform"/>
    <x v="2"/>
    <x v="1"/>
    <x v="1"/>
    <x v="2"/>
  </r>
  <r>
    <n v="69"/>
    <s v="Lizard"/>
    <x v="0"/>
    <x v="1"/>
    <n v="3.3"/>
    <x v="1"/>
    <s v="Computer Science"/>
    <x v="3"/>
    <s v="E-commerce Website"/>
    <x v="3"/>
    <x v="2"/>
    <x v="0"/>
    <x v="2"/>
  </r>
  <r>
    <n v="70"/>
    <s v="Hydro-Man"/>
    <x v="0"/>
    <x v="0"/>
    <n v="3.7"/>
    <x v="0"/>
    <s v="Computer Science"/>
    <x v="8"/>
    <s v="Android Game"/>
    <x v="8"/>
    <x v="1"/>
    <x v="1"/>
    <x v="2"/>
  </r>
  <r>
    <n v="71"/>
    <s v="Kingpin"/>
    <x v="0"/>
    <x v="2"/>
    <n v="3.5"/>
    <x v="0"/>
    <s v="Computer Science"/>
    <x v="9"/>
    <s v="3D Animation"/>
    <x v="9"/>
    <x v="2"/>
    <x v="2"/>
    <x v="2"/>
  </r>
  <r>
    <n v="72"/>
    <s v="Taskmaster"/>
    <x v="0"/>
    <x v="3"/>
    <n v="3.8"/>
    <x v="0"/>
    <s v="Computer Science"/>
    <x v="0"/>
    <s v="Natural Language Processing"/>
    <x v="10"/>
    <x v="0"/>
    <x v="2"/>
    <x v="0"/>
  </r>
  <r>
    <n v="73"/>
    <s v="MODOK"/>
    <x v="0"/>
    <x v="1"/>
    <n v="3.3"/>
    <x v="1"/>
    <s v="Computer Science"/>
    <x v="1"/>
    <s v="Machine Learning"/>
    <x v="1"/>
    <x v="1"/>
    <x v="0"/>
    <x v="0"/>
  </r>
  <r>
    <n v="74"/>
    <s v="AIM"/>
    <x v="0"/>
    <x v="2"/>
    <n v="3.7"/>
    <x v="0"/>
    <s v="Computer Science"/>
    <x v="4"/>
    <s v="Network Security"/>
    <x v="4"/>
    <x v="2"/>
    <x v="0"/>
    <x v="1"/>
  </r>
  <r>
    <n v="75"/>
    <s v="Hydra"/>
    <x v="0"/>
    <x v="0"/>
    <n v="3.5"/>
    <x v="0"/>
    <s v="Computer Science"/>
    <x v="6"/>
    <s v="SQL Query Optimization"/>
    <x v="6"/>
    <x v="1"/>
    <x v="1"/>
    <x v="2"/>
  </r>
  <r>
    <n v="76"/>
    <s v="AIM"/>
    <x v="1"/>
    <x v="2"/>
    <n v="3.7"/>
    <x v="0"/>
    <s v="Computer Science"/>
    <x v="4"/>
    <s v="Network Security"/>
    <x v="4"/>
    <x v="2"/>
    <x v="0"/>
    <x v="1"/>
  </r>
  <r>
    <n v="77"/>
    <s v="Agent Coulson"/>
    <x v="0"/>
    <x v="4"/>
    <n v="3.9"/>
    <x v="0"/>
    <s v="Computer Science"/>
    <x v="7"/>
    <s v="AWS Deployment"/>
    <x v="7"/>
    <x v="0"/>
    <x v="0"/>
    <x v="1"/>
  </r>
  <r>
    <n v="78"/>
    <s v="Agent Hill"/>
    <x v="1"/>
    <x v="5"/>
    <n v="3.8"/>
    <x v="0"/>
    <s v="Computer Science"/>
    <x v="4"/>
    <s v="Network Security"/>
    <x v="4"/>
    <x v="2"/>
    <x v="0"/>
    <x v="1"/>
  </r>
  <r>
    <n v="79"/>
    <s v="Agent Melinda May"/>
    <x v="1"/>
    <x v="6"/>
    <n v="3.7"/>
    <x v="0"/>
    <s v="Computer Science"/>
    <x v="6"/>
    <s v="SQL Query Optimization"/>
    <x v="6"/>
    <x v="1"/>
    <x v="1"/>
    <x v="2"/>
  </r>
  <r>
    <n v="80"/>
    <s v="Agent Daisy Johnson"/>
    <x v="1"/>
    <x v="7"/>
    <n v="3.6"/>
    <x v="0"/>
    <s v="Computer Science"/>
    <x v="8"/>
    <s v="Android Game"/>
    <x v="8"/>
    <x v="0"/>
    <x v="2"/>
    <x v="2"/>
  </r>
  <r>
    <n v="81"/>
    <s v="Agent Simmons"/>
    <x v="1"/>
    <x v="8"/>
    <n v="3.5"/>
    <x v="0"/>
    <s v="Computer Science"/>
    <x v="3"/>
    <s v="E-commerce Website"/>
    <x v="3"/>
    <x v="2"/>
    <x v="0"/>
    <x v="2"/>
  </r>
  <r>
    <n v="82"/>
    <s v="Agent Fitz"/>
    <x v="0"/>
    <x v="4"/>
    <n v="3.9"/>
    <x v="0"/>
    <s v="Computer Science"/>
    <x v="2"/>
    <s v="Social Media Platform"/>
    <x v="2"/>
    <x v="1"/>
    <x v="1"/>
    <x v="2"/>
  </r>
  <r>
    <n v="83"/>
    <s v="Agent Mack"/>
    <x v="0"/>
    <x v="6"/>
    <n v="3.8"/>
    <x v="0"/>
    <s v="Computer Science"/>
    <x v="9"/>
    <s v="3D Animation"/>
    <x v="9"/>
    <x v="2"/>
    <x v="2"/>
    <x v="2"/>
  </r>
  <r>
    <n v="84"/>
    <s v="Agent Bobbi Morse"/>
    <x v="1"/>
    <x v="7"/>
    <n v="3.7"/>
    <x v="0"/>
    <s v="Computer Science"/>
    <x v="0"/>
    <s v="Natural Language Processing"/>
    <x v="10"/>
    <x v="0"/>
    <x v="2"/>
    <x v="0"/>
  </r>
  <r>
    <n v="85"/>
    <s v="Agent Lance Hunter"/>
    <x v="0"/>
    <x v="5"/>
    <n v="3.6"/>
    <x v="0"/>
    <s v="Computer Science"/>
    <x v="1"/>
    <s v="Machine Learning"/>
    <x v="1"/>
    <x v="1"/>
    <x v="0"/>
    <x v="0"/>
  </r>
  <r>
    <n v="86"/>
    <s v="Oliver Davis"/>
    <x v="0"/>
    <x v="2"/>
    <n v="3.7"/>
    <x v="0"/>
    <s v="Computer Science"/>
    <x v="11"/>
    <s v="Firewall Management"/>
    <x v="12"/>
    <x v="0"/>
    <x v="2"/>
    <x v="0"/>
  </r>
  <r>
    <n v="87"/>
    <s v="Ava Miller"/>
    <x v="1"/>
    <x v="0"/>
    <n v="3.6"/>
    <x v="0"/>
    <s v="Computer Science"/>
    <x v="5"/>
    <s v="Deep Learning Models"/>
    <x v="5"/>
    <x v="0"/>
    <x v="2"/>
    <x v="0"/>
  </r>
  <r>
    <n v="88"/>
    <s v="Liam Wilson"/>
    <x v="0"/>
    <x v="3"/>
    <n v="3.8"/>
    <x v="0"/>
    <s v="Computer Science"/>
    <x v="6"/>
    <s v="Data Warehouse Design"/>
    <x v="6"/>
    <x v="1"/>
    <x v="0"/>
    <x v="0"/>
  </r>
  <r>
    <n v="89"/>
    <s v="Sophia Johnson"/>
    <x v="1"/>
    <x v="2"/>
    <n v="3.5"/>
    <x v="0"/>
    <s v="Computer Science"/>
    <x v="2"/>
    <s v="Embedded Systems"/>
    <x v="13"/>
    <x v="2"/>
    <x v="0"/>
    <x v="1"/>
  </r>
  <r>
    <n v="90"/>
    <s v="Michael Brown"/>
    <x v="0"/>
    <x v="0"/>
    <n v="3.9"/>
    <x v="0"/>
    <s v="Computer Science"/>
    <x v="3"/>
    <s v="Front-End Development"/>
    <x v="3"/>
    <x v="0"/>
    <x v="2"/>
    <x v="0"/>
  </r>
  <r>
    <n v="91"/>
    <s v="Emily Lee"/>
    <x v="1"/>
    <x v="1"/>
    <n v="3.7"/>
    <x v="0"/>
    <s v="Computer Science"/>
    <x v="1"/>
    <s v="Statistical Analysis"/>
    <x v="14"/>
    <x v="0"/>
    <x v="2"/>
    <x v="0"/>
  </r>
  <r>
    <n v="92"/>
    <s v="William Davis"/>
    <x v="0"/>
    <x v="2"/>
    <n v="3.4"/>
    <x v="1"/>
    <s v="Computer Science"/>
    <x v="0"/>
    <s v="Robotics"/>
    <x v="15"/>
    <x v="0"/>
    <x v="0"/>
    <x v="0"/>
  </r>
  <r>
    <n v="93"/>
    <s v="Olivia Brown"/>
    <x v="1"/>
    <x v="0"/>
    <n v="3.5"/>
    <x v="0"/>
    <s v="Computer Science"/>
    <x v="12"/>
    <s v="Mobile Game Development"/>
    <x v="11"/>
    <x v="2"/>
    <x v="0"/>
    <x v="1"/>
  </r>
  <r>
    <n v="94"/>
    <s v="John Smith"/>
    <x v="0"/>
    <x v="3"/>
    <n v="3.6"/>
    <x v="0"/>
    <s v="Computer Science"/>
    <x v="4"/>
    <s v="Penetration Testing"/>
    <x v="16"/>
    <x v="0"/>
    <x v="0"/>
    <x v="1"/>
  </r>
  <r>
    <n v="95"/>
    <s v="Alice Johnson"/>
    <x v="1"/>
    <x v="1"/>
    <n v="3.2"/>
    <x v="1"/>
    <s v="Computer Science"/>
    <x v="13"/>
    <s v="Object Detection"/>
    <x v="17"/>
    <x v="0"/>
    <x v="2"/>
    <x v="0"/>
  </r>
  <r>
    <n v="96"/>
    <s v="Robert Davis"/>
    <x v="0"/>
    <x v="2"/>
    <n v="3.8"/>
    <x v="0"/>
    <s v="Computer Science"/>
    <x v="10"/>
    <s v="DevOps"/>
    <x v="18"/>
    <x v="0"/>
    <x v="2"/>
    <x v="0"/>
  </r>
  <r>
    <n v="97"/>
    <s v="Emily Wilson"/>
    <x v="1"/>
    <x v="0"/>
    <n v="3.7"/>
    <x v="0"/>
    <s v="Computer Science"/>
    <x v="14"/>
    <s v="Genomic Data Analysis"/>
    <x v="19"/>
    <x v="2"/>
    <x v="0"/>
    <x v="2"/>
  </r>
  <r>
    <n v="98"/>
    <s v="Michael Brown"/>
    <x v="0"/>
    <x v="3"/>
    <n v="3.4"/>
    <x v="1"/>
    <s v="Computer Science"/>
    <x v="15"/>
    <s v="Smart Home Automation"/>
    <x v="20"/>
    <x v="2"/>
    <x v="0"/>
    <x v="1"/>
  </r>
  <r>
    <n v="99"/>
    <s v="Laura Lee"/>
    <x v="1"/>
    <x v="2"/>
    <n v="3.9"/>
    <x v="0"/>
    <s v="Computer Science"/>
    <x v="16"/>
    <s v="Chatbot Development"/>
    <x v="21"/>
    <x v="0"/>
    <x v="2"/>
    <x v="0"/>
  </r>
  <r>
    <n v="100"/>
    <s v="William Johnson"/>
    <x v="0"/>
    <x v="1"/>
    <n v="3.6"/>
    <x v="0"/>
    <s v="Computer Science"/>
    <x v="17"/>
    <s v="Market Analysis"/>
    <x v="14"/>
    <x v="0"/>
    <x v="2"/>
    <x v="0"/>
  </r>
  <r>
    <n v="101"/>
    <s v="Sarah Miller"/>
    <x v="1"/>
    <x v="0"/>
    <n v="3.7"/>
    <x v="0"/>
    <s v="Computer Science"/>
    <x v="7"/>
    <s v="Cloud Migration Specialist"/>
    <x v="7"/>
    <x v="2"/>
    <x v="0"/>
    <x v="1"/>
  </r>
  <r>
    <n v="102"/>
    <s v="James Wilson"/>
    <x v="0"/>
    <x v="3"/>
    <n v="3.3"/>
    <x v="1"/>
    <s v="Computer Science"/>
    <x v="18"/>
    <s v="Usability Testing"/>
    <x v="22"/>
    <x v="0"/>
    <x v="2"/>
    <x v="0"/>
  </r>
  <r>
    <n v="103"/>
    <s v="Olivia Clark"/>
    <x v="1"/>
    <x v="2"/>
    <n v="3.5"/>
    <x v="0"/>
    <s v="Computer Science"/>
    <x v="19"/>
    <s v="Medical Imaging Analysis"/>
    <x v="23"/>
    <x v="2"/>
    <x v="0"/>
    <x v="1"/>
  </r>
  <r>
    <n v="104"/>
    <s v="Andrew Hall"/>
    <x v="0"/>
    <x v="0"/>
    <n v="3.8"/>
    <x v="0"/>
    <s v="Computer Science"/>
    <x v="20"/>
    <s v="Quantum Algorithm Development"/>
    <x v="24"/>
    <x v="0"/>
    <x v="2"/>
    <x v="0"/>
  </r>
  <r>
    <n v="105"/>
    <s v="David Jones"/>
    <x v="0"/>
    <x v="2"/>
    <n v="3.7"/>
    <x v="0"/>
    <s v="Computer Science"/>
    <x v="9"/>
    <s v="Virtual Reality Development"/>
    <x v="25"/>
    <x v="2"/>
    <x v="0"/>
    <x v="1"/>
  </r>
  <r>
    <n v="106"/>
    <s v="Elizabeth Williams"/>
    <x v="1"/>
    <x v="0"/>
    <n v="3.3"/>
    <x v="1"/>
    <s v="Computer Science"/>
    <x v="21"/>
    <s v="Smart Contracts Developer"/>
    <x v="26"/>
    <x v="2"/>
    <x v="2"/>
    <x v="2"/>
  </r>
  <r>
    <n v="107"/>
    <s v="Charles Miller"/>
    <x v="0"/>
    <x v="3"/>
    <n v="3.5"/>
    <x v="0"/>
    <s v="Computer Science"/>
    <x v="22"/>
    <s v="Search Engine Optimization"/>
    <x v="27"/>
    <x v="2"/>
    <x v="2"/>
    <x v="2"/>
  </r>
  <r>
    <n v="108"/>
    <s v="Susan Davis"/>
    <x v="1"/>
    <x v="2"/>
    <n v="3.8"/>
    <x v="0"/>
    <s v="Computer Science"/>
    <x v="23"/>
    <s v="Privacy Compliance Officer"/>
    <x v="28"/>
    <x v="2"/>
    <x v="2"/>
    <x v="2"/>
  </r>
  <r>
    <n v="109"/>
    <s v="John Brown"/>
    <x v="0"/>
    <x v="1"/>
    <n v="3.6"/>
    <x v="0"/>
    <s v="Computer Science"/>
    <x v="24"/>
    <s v="GIS Mapping"/>
    <x v="29"/>
    <x v="2"/>
    <x v="2"/>
    <x v="2"/>
  </r>
  <r>
    <n v="110"/>
    <s v="Laura Lee"/>
    <x v="1"/>
    <x v="0"/>
    <n v="3.9"/>
    <x v="0"/>
    <s v="Computer Science"/>
    <x v="25"/>
    <s v="Distributed Systems Architect"/>
    <x v="30"/>
    <x v="2"/>
    <x v="2"/>
    <x v="2"/>
  </r>
  <r>
    <n v="111"/>
    <s v="William Johnson"/>
    <x v="0"/>
    <x v="3"/>
    <n v="3.6"/>
    <x v="0"/>
    <s v="Computer Science"/>
    <x v="26"/>
    <s v="Computer Forensic Analyst"/>
    <x v="31"/>
    <x v="2"/>
    <x v="2"/>
    <x v="2"/>
  </r>
  <r>
    <n v="112"/>
    <s v="Sarah Miller"/>
    <x v="1"/>
    <x v="2"/>
    <n v="3.7"/>
    <x v="0"/>
    <s v="Computer Science"/>
    <x v="14"/>
    <s v="Protein Structure Prediction"/>
    <x v="19"/>
    <x v="2"/>
    <x v="2"/>
    <x v="2"/>
  </r>
  <r>
    <n v="113"/>
    <s v="James Wilson"/>
    <x v="0"/>
    <x v="1"/>
    <n v="3.3"/>
    <x v="1"/>
    <s v="Computer Science"/>
    <x v="18"/>
    <s v="User Experience Researcher"/>
    <x v="22"/>
    <x v="2"/>
    <x v="2"/>
    <x v="2"/>
  </r>
  <r>
    <n v="114"/>
    <s v="Olivia Clark"/>
    <x v="1"/>
    <x v="0"/>
    <n v="3.5"/>
    <x v="0"/>
    <s v="Computer Science"/>
    <x v="19"/>
    <s v="Healthcare Data Analyst"/>
    <x v="23"/>
    <x v="2"/>
    <x v="2"/>
    <x v="2"/>
  </r>
  <r>
    <n v="115"/>
    <s v="Andrew Hall"/>
    <x v="0"/>
    <x v="3"/>
    <n v="3.8"/>
    <x v="0"/>
    <s v="Computer Science"/>
    <x v="20"/>
    <s v="Quantum Algorithm Development"/>
    <x v="24"/>
    <x v="2"/>
    <x v="2"/>
    <x v="2"/>
  </r>
  <r>
    <n v="116"/>
    <s v="Grace Smith"/>
    <x v="1"/>
    <x v="1"/>
    <n v="3.6"/>
    <x v="0"/>
    <s v="Computer Science"/>
    <x v="0"/>
    <s v="Neural Network Development"/>
    <x v="32"/>
    <x v="0"/>
    <x v="2"/>
    <x v="0"/>
  </r>
  <r>
    <n v="117"/>
    <s v="Michael Johnson"/>
    <x v="0"/>
    <x v="2"/>
    <n v="3.4"/>
    <x v="1"/>
    <s v="Computer Science"/>
    <x v="1"/>
    <s v="Big Data Analytics"/>
    <x v="14"/>
    <x v="1"/>
    <x v="0"/>
    <x v="0"/>
  </r>
  <r>
    <n v="118"/>
    <s v="Olivia Davis"/>
    <x v="1"/>
    <x v="0"/>
    <n v="3.9"/>
    <x v="0"/>
    <s v="Computer Science"/>
    <x v="2"/>
    <s v="Mobile App Development"/>
    <x v="2"/>
    <x v="0"/>
    <x v="0"/>
    <x v="1"/>
  </r>
  <r>
    <n v="119"/>
    <s v="William Brown"/>
    <x v="0"/>
    <x v="3"/>
    <n v="3.7"/>
    <x v="0"/>
    <s v="Computer Science"/>
    <x v="3"/>
    <s v="E-commerce Website"/>
    <x v="3"/>
    <x v="2"/>
    <x v="0"/>
    <x v="2"/>
  </r>
  <r>
    <n v="120"/>
    <s v="Emily Wilson"/>
    <x v="1"/>
    <x v="2"/>
    <n v="3.5"/>
    <x v="0"/>
    <s v="Computer Science"/>
    <x v="4"/>
    <s v="Network Security"/>
    <x v="4"/>
    <x v="1"/>
    <x v="1"/>
    <x v="2"/>
  </r>
  <r>
    <n v="121"/>
    <s v="David Lee"/>
    <x v="0"/>
    <x v="0"/>
    <n v="3.8"/>
    <x v="0"/>
    <s v="Computer Science"/>
    <x v="5"/>
    <s v="Image Classification"/>
    <x v="5"/>
    <x v="0"/>
    <x v="1"/>
    <x v="0"/>
  </r>
  <r>
    <n v="122"/>
    <s v="Sophia Miller"/>
    <x v="1"/>
    <x v="1"/>
    <n v="3.7"/>
    <x v="0"/>
    <s v="Computer Science"/>
    <x v="6"/>
    <s v="SQL Database Design"/>
    <x v="6"/>
    <x v="2"/>
    <x v="0"/>
    <x v="1"/>
  </r>
  <r>
    <n v="123"/>
    <s v="James Wilson"/>
    <x v="0"/>
    <x v="3"/>
    <n v="3.3"/>
    <x v="1"/>
    <s v="Computer Science"/>
    <x v="7"/>
    <s v="Cloud Infrastructure Management"/>
    <x v="7"/>
    <x v="0"/>
    <x v="1"/>
    <x v="0"/>
  </r>
  <r>
    <n v="124"/>
    <s v="Emma Clark"/>
    <x v="1"/>
    <x v="2"/>
    <n v="3.5"/>
    <x v="0"/>
    <s v="Computer Science"/>
    <x v="8"/>
    <s v="iOS App Development"/>
    <x v="8"/>
    <x v="1"/>
    <x v="0"/>
    <x v="0"/>
  </r>
  <r>
    <n v="125"/>
    <s v="Matthew Hall"/>
    <x v="0"/>
    <x v="0"/>
    <n v="3.8"/>
    <x v="0"/>
    <s v="Computer Science"/>
    <x v="0"/>
    <s v="Natural Language Processing"/>
    <x v="10"/>
    <x v="0"/>
    <x v="1"/>
    <x v="0"/>
  </r>
  <r>
    <n v="126"/>
    <s v="Olivia Davis"/>
    <x v="1"/>
    <x v="2"/>
    <n v="3.7"/>
    <x v="0"/>
    <s v="Computer Science"/>
    <x v="3"/>
    <s v="Full-Stack Web App"/>
    <x v="3"/>
    <x v="2"/>
    <x v="0"/>
    <x v="2"/>
  </r>
  <r>
    <n v="127"/>
    <s v="William Smith"/>
    <x v="0"/>
    <x v="3"/>
    <n v="3.3"/>
    <x v="1"/>
    <s v="Computer Science"/>
    <x v="8"/>
    <s v="Android App Development"/>
    <x v="8"/>
    <x v="1"/>
    <x v="1"/>
    <x v="2"/>
  </r>
  <r>
    <n v="128"/>
    <s v="Emily Johnson"/>
    <x v="1"/>
    <x v="1"/>
    <n v="3.5"/>
    <x v="0"/>
    <s v="Computer Science"/>
    <x v="9"/>
    <s v="3D Modeling"/>
    <x v="9"/>
    <x v="2"/>
    <x v="2"/>
    <x v="2"/>
  </r>
  <r>
    <n v="129"/>
    <s v="David Brown"/>
    <x v="0"/>
    <x v="2"/>
    <n v="3.8"/>
    <x v="0"/>
    <s v="Computer Science"/>
    <x v="10"/>
    <s v="Enterprise Software Development"/>
    <x v="2"/>
    <x v="0"/>
    <x v="0"/>
    <x v="1"/>
  </r>
  <r>
    <n v="130"/>
    <s v="Sophia Wilson"/>
    <x v="1"/>
    <x v="0"/>
    <n v="3.7"/>
    <x v="0"/>
    <s v="Computer Science"/>
    <x v="4"/>
    <s v="Network Security"/>
    <x v="4"/>
    <x v="1"/>
    <x v="1"/>
    <x v="2"/>
  </r>
  <r>
    <n v="131"/>
    <s v="James Miller"/>
    <x v="0"/>
    <x v="3"/>
    <n v="3.3"/>
    <x v="1"/>
    <s v="Computer Science"/>
    <x v="6"/>
    <s v="SQL Query Optimization"/>
    <x v="6"/>
    <x v="1"/>
    <x v="0"/>
    <x v="0"/>
  </r>
  <r>
    <n v="132"/>
    <s v="Emma Johnson"/>
    <x v="1"/>
    <x v="2"/>
    <n v="3.5"/>
    <x v="0"/>
    <s v="Computer Science"/>
    <x v="7"/>
    <s v="AWS Deployment"/>
    <x v="7"/>
    <x v="2"/>
    <x v="0"/>
    <x v="1"/>
  </r>
  <r>
    <n v="133"/>
    <s v="Matthew Lee"/>
    <x v="0"/>
    <x v="0"/>
    <n v="3.8"/>
    <x v="0"/>
    <s v="Computer Science"/>
    <x v="0"/>
    <s v="Computer Vision"/>
    <x v="32"/>
    <x v="0"/>
    <x v="2"/>
    <x v="0"/>
  </r>
  <r>
    <n v="134"/>
    <s v="Oliver Davis"/>
    <x v="0"/>
    <x v="3"/>
    <n v="3.7"/>
    <x v="0"/>
    <s v="Computer Science"/>
    <x v="1"/>
    <s v="Machine Learning"/>
    <x v="1"/>
    <x v="1"/>
    <x v="0"/>
    <x v="0"/>
  </r>
  <r>
    <n v="135"/>
    <s v="Isabella Brown"/>
    <x v="1"/>
    <x v="1"/>
    <n v="3.6"/>
    <x v="0"/>
    <s v="Computer Science"/>
    <x v="2"/>
    <s v="Web Application Development"/>
    <x v="2"/>
    <x v="0"/>
    <x v="1"/>
    <x v="2"/>
  </r>
  <r>
    <n v="136"/>
    <s v="Elijah Smith"/>
    <x v="0"/>
    <x v="2"/>
    <n v="3.4"/>
    <x v="1"/>
    <s v="Computer Science"/>
    <x v="3"/>
    <s v="E-commerce Website"/>
    <x v="3"/>
    <x v="2"/>
    <x v="0"/>
    <x v="2"/>
  </r>
  <r>
    <n v="137"/>
    <s v="Ava Miller"/>
    <x v="1"/>
    <x v="0"/>
    <n v="3.9"/>
    <x v="0"/>
    <s v="Computer Science"/>
    <x v="4"/>
    <s v="Security Auditing"/>
    <x v="4"/>
    <x v="0"/>
    <x v="2"/>
    <x v="0"/>
  </r>
  <r>
    <n v="138"/>
    <s v="Liam Wilson"/>
    <x v="0"/>
    <x v="3"/>
    <n v="3.7"/>
    <x v="0"/>
    <s v="Computer Science"/>
    <x v="5"/>
    <s v="Natural Language Processing"/>
    <x v="5"/>
    <x v="0"/>
    <x v="2"/>
    <x v="0"/>
  </r>
  <r>
    <n v="139"/>
    <s v="Sophia Johnson"/>
    <x v="1"/>
    <x v="2"/>
    <n v="3.5"/>
    <x v="0"/>
    <s v="Computer Science"/>
    <x v="6"/>
    <s v="SQL Database Administration"/>
    <x v="6"/>
    <x v="2"/>
    <x v="0"/>
    <x v="1"/>
  </r>
  <r>
    <n v="140"/>
    <s v="Michael Brown"/>
    <x v="0"/>
    <x v="0"/>
    <n v="3.8"/>
    <x v="0"/>
    <s v="Computer Science"/>
    <x v="7"/>
    <s v="Cloud Solution Architecture"/>
    <x v="7"/>
    <x v="0"/>
    <x v="0"/>
    <x v="0"/>
  </r>
  <r>
    <n v="141"/>
    <s v="Emily Lee"/>
    <x v="1"/>
    <x v="1"/>
    <n v="3.7"/>
    <x v="0"/>
    <s v="Computer Science"/>
    <x v="8"/>
    <s v="Cross-Platform App Development"/>
    <x v="8"/>
    <x v="2"/>
    <x v="0"/>
    <x v="1"/>
  </r>
  <r>
    <n v="142"/>
    <s v="William Davis"/>
    <x v="0"/>
    <x v="3"/>
    <n v="3.3"/>
    <x v="1"/>
    <s v="Computer Science"/>
    <x v="0"/>
    <s v="Reinforcement Learning"/>
    <x v="32"/>
    <x v="0"/>
    <x v="1"/>
    <x v="1"/>
  </r>
  <r>
    <n v="143"/>
    <s v="Olivia Brown"/>
    <x v="1"/>
    <x v="2"/>
    <n v="3.5"/>
    <x v="0"/>
    <s v="Computer Science"/>
    <x v="1"/>
    <s v="Data Mining"/>
    <x v="14"/>
    <x v="1"/>
    <x v="1"/>
    <x v="2"/>
  </r>
  <r>
    <n v="144"/>
    <s v="John Smith"/>
    <x v="0"/>
    <x v="0"/>
    <n v="3.6"/>
    <x v="0"/>
    <s v="Computer Science"/>
    <x v="3"/>
    <s v="Front-End Development"/>
    <x v="3"/>
    <x v="2"/>
    <x v="0"/>
    <x v="1"/>
  </r>
  <r>
    <n v="145"/>
    <s v="Alice Johnson"/>
    <x v="1"/>
    <x v="1"/>
    <n v="3.7"/>
    <x v="0"/>
    <s v="Computer Science"/>
    <x v="5"/>
    <s v="Computer Vision"/>
    <x v="5"/>
    <x v="0"/>
    <x v="2"/>
    <x v="0"/>
  </r>
  <r>
    <n v="146"/>
    <s v="Charlotte Davis"/>
    <x v="1"/>
    <x v="2"/>
    <n v="3.7"/>
    <x v="0"/>
    <s v="Computer Science"/>
    <x v="0"/>
    <s v="Reinforcement Learning"/>
    <x v="32"/>
    <x v="0"/>
    <x v="2"/>
    <x v="0"/>
  </r>
  <r>
    <n v="147"/>
    <s v="Joseph Miller"/>
    <x v="0"/>
    <x v="0"/>
    <n v="3.6"/>
    <x v="0"/>
    <s v="Computer Science"/>
    <x v="1"/>
    <s v="Machine Learning"/>
    <x v="1"/>
    <x v="0"/>
    <x v="2"/>
    <x v="0"/>
  </r>
  <r>
    <n v="148"/>
    <s v="Emma Wilson"/>
    <x v="1"/>
    <x v="1"/>
    <n v="3.8"/>
    <x v="0"/>
    <s v="Computer Science"/>
    <x v="2"/>
    <s v="Mobile App Development"/>
    <x v="2"/>
    <x v="0"/>
    <x v="0"/>
    <x v="1"/>
  </r>
  <r>
    <n v="149"/>
    <s v="Oliver Brown"/>
    <x v="0"/>
    <x v="3"/>
    <n v="3.7"/>
    <x v="0"/>
    <s v="Computer Science"/>
    <x v="3"/>
    <s v="E-commerce Website"/>
    <x v="3"/>
    <x v="2"/>
    <x v="0"/>
    <x v="2"/>
  </r>
  <r>
    <n v="150"/>
    <s v="Sophia Johnson"/>
    <x v="1"/>
    <x v="2"/>
    <n v="3.5"/>
    <x v="0"/>
    <s v="Computer Science"/>
    <x v="4"/>
    <s v="Network Security"/>
    <x v="4"/>
    <x v="1"/>
    <x v="1"/>
    <x v="2"/>
  </r>
  <r>
    <n v="151"/>
    <s v="William Smith"/>
    <x v="0"/>
    <x v="0"/>
    <n v="3.9"/>
    <x v="0"/>
    <s v="Computer Science"/>
    <x v="5"/>
    <s v="Image Classification"/>
    <x v="5"/>
    <x v="0"/>
    <x v="2"/>
    <x v="0"/>
  </r>
  <r>
    <n v="152"/>
    <s v="Charlotte Davis"/>
    <x v="1"/>
    <x v="2"/>
    <n v="3.7"/>
    <x v="0"/>
    <s v="Computer Science"/>
    <x v="6"/>
    <s v="SQL Database Design"/>
    <x v="6"/>
    <x v="2"/>
    <x v="0"/>
    <x v="1"/>
  </r>
  <r>
    <n v="153"/>
    <s v="James Wilson"/>
    <x v="0"/>
    <x v="1"/>
    <n v="3.6"/>
    <x v="0"/>
    <s v="Computer Science"/>
    <x v="7"/>
    <s v="Cloud Infrastructure Management"/>
    <x v="7"/>
    <x v="0"/>
    <x v="1"/>
    <x v="0"/>
  </r>
  <r>
    <n v="154"/>
    <s v="Olivia Clark"/>
    <x v="1"/>
    <x v="0"/>
    <n v="3.5"/>
    <x v="0"/>
    <s v="Computer Science"/>
    <x v="8"/>
    <s v="iOS App Development"/>
    <x v="8"/>
    <x v="2"/>
    <x v="0"/>
    <x v="1"/>
  </r>
  <r>
    <n v="155"/>
    <s v="Matthew Hall"/>
    <x v="0"/>
    <x v="3"/>
    <n v="3.8"/>
    <x v="0"/>
    <s v="Computer Science"/>
    <x v="0"/>
    <s v="Natural Language Processing"/>
    <x v="10"/>
    <x v="0"/>
    <x v="1"/>
    <x v="0"/>
  </r>
  <r>
    <n v="156"/>
    <s v="Elijah Davis"/>
    <x v="0"/>
    <x v="2"/>
    <n v="3.7"/>
    <x v="0"/>
    <s v="Computer Science"/>
    <x v="3"/>
    <s v="Full-Stack Web App"/>
    <x v="3"/>
    <x v="2"/>
    <x v="0"/>
    <x v="2"/>
  </r>
  <r>
    <n v="157"/>
    <s v="Emma Johnson"/>
    <x v="1"/>
    <x v="1"/>
    <n v="3.6"/>
    <x v="0"/>
    <s v="Computer Science"/>
    <x v="4"/>
    <s v="Security Auditing"/>
    <x v="4"/>
    <x v="0"/>
    <x v="2"/>
    <x v="0"/>
  </r>
  <r>
    <n v="158"/>
    <s v="Liam Wilson"/>
    <x v="0"/>
    <x v="0"/>
    <n v="3.4"/>
    <x v="1"/>
    <s v="Computer Science"/>
    <x v="5"/>
    <s v="Natural Language Processing"/>
    <x v="5"/>
    <x v="0"/>
    <x v="2"/>
    <x v="0"/>
  </r>
  <r>
    <n v="159"/>
    <s v="Sophia Johnson"/>
    <x v="1"/>
    <x v="2"/>
    <n v="3.5"/>
    <x v="0"/>
    <s v="Computer Science"/>
    <x v="6"/>
    <s v="SQL Database Administration"/>
    <x v="6"/>
    <x v="2"/>
    <x v="0"/>
    <x v="1"/>
  </r>
  <r>
    <n v="160"/>
    <s v="Michael Brown"/>
    <x v="0"/>
    <x v="3"/>
    <n v="3.7"/>
    <x v="0"/>
    <s v="Computer Science"/>
    <x v="7"/>
    <s v="Cloud Solution Architecture"/>
    <x v="7"/>
    <x v="0"/>
    <x v="0"/>
    <x v="0"/>
  </r>
  <r>
    <n v="161"/>
    <s v="Emily Lee"/>
    <x v="1"/>
    <x v="1"/>
    <n v="3.8"/>
    <x v="0"/>
    <s v="Computer Science"/>
    <x v="8"/>
    <s v="Cross-Platform App Development"/>
    <x v="8"/>
    <x v="2"/>
    <x v="0"/>
    <x v="1"/>
  </r>
  <r>
    <n v="162"/>
    <s v="William Davis"/>
    <x v="0"/>
    <x v="0"/>
    <n v="3.7"/>
    <x v="0"/>
    <s v="Computer Science"/>
    <x v="0"/>
    <s v="Reinforcement Learning"/>
    <x v="32"/>
    <x v="0"/>
    <x v="1"/>
    <x v="1"/>
  </r>
  <r>
    <n v="163"/>
    <s v="Olivia Brown"/>
    <x v="1"/>
    <x v="2"/>
    <n v="3.5"/>
    <x v="0"/>
    <s v="Computer Science"/>
    <x v="1"/>
    <s v="Data Mining"/>
    <x v="14"/>
    <x v="1"/>
    <x v="1"/>
    <x v="2"/>
  </r>
  <r>
    <n v="164"/>
    <s v="John Smith"/>
    <x v="0"/>
    <x v="3"/>
    <n v="3.6"/>
    <x v="0"/>
    <s v="Computer Science"/>
    <x v="3"/>
    <s v="Front-End Development"/>
    <x v="3"/>
    <x v="2"/>
    <x v="0"/>
    <x v="1"/>
  </r>
  <r>
    <n v="165"/>
    <s v="Alice Johnson"/>
    <x v="1"/>
    <x v="1"/>
    <n v="3.7"/>
    <x v="0"/>
    <s v="Computer Science"/>
    <x v="5"/>
    <s v="Computer Vision"/>
    <x v="5"/>
    <x v="0"/>
    <x v="2"/>
    <x v="0"/>
  </r>
  <r>
    <n v="166"/>
    <s v="Charlotte Davis"/>
    <x v="1"/>
    <x v="2"/>
    <n v="3.7"/>
    <x v="0"/>
    <s v="Computer Science"/>
    <x v="0"/>
    <s v="Neural Network Development"/>
    <x v="32"/>
    <x v="0"/>
    <x v="2"/>
    <x v="0"/>
  </r>
  <r>
    <n v="167"/>
    <s v="Joseph Miller"/>
    <x v="0"/>
    <x v="0"/>
    <n v="3.6"/>
    <x v="0"/>
    <s v="Computer Science"/>
    <x v="1"/>
    <s v="Big Data Analytics"/>
    <x v="14"/>
    <x v="1"/>
    <x v="0"/>
    <x v="0"/>
  </r>
  <r>
    <n v="168"/>
    <s v="Emma Wilson"/>
    <x v="1"/>
    <x v="1"/>
    <n v="3.8"/>
    <x v="0"/>
    <s v="Computer Science"/>
    <x v="2"/>
    <s v="Mobile App Development"/>
    <x v="2"/>
    <x v="0"/>
    <x v="0"/>
    <x v="1"/>
  </r>
  <r>
    <n v="169"/>
    <s v="Oliver Brown"/>
    <x v="0"/>
    <x v="3"/>
    <n v="3.7"/>
    <x v="0"/>
    <s v="Computer Science"/>
    <x v="3"/>
    <s v="E-commerce Website"/>
    <x v="3"/>
    <x v="2"/>
    <x v="0"/>
    <x v="2"/>
  </r>
  <r>
    <n v="170"/>
    <s v="Sophia Johnson"/>
    <x v="1"/>
    <x v="2"/>
    <n v="3.5"/>
    <x v="0"/>
    <s v="Computer Science"/>
    <x v="4"/>
    <s v="Network Security"/>
    <x v="4"/>
    <x v="1"/>
    <x v="1"/>
    <x v="2"/>
  </r>
  <r>
    <n v="171"/>
    <s v="William Smith"/>
    <x v="0"/>
    <x v="0"/>
    <n v="3.9"/>
    <x v="0"/>
    <s v="Computer Science"/>
    <x v="5"/>
    <s v="Image Classification"/>
    <x v="5"/>
    <x v="0"/>
    <x v="2"/>
    <x v="0"/>
  </r>
  <r>
    <n v="172"/>
    <s v="Charlotte Davis"/>
    <x v="1"/>
    <x v="2"/>
    <n v="3.7"/>
    <x v="0"/>
    <s v="Computer Science"/>
    <x v="6"/>
    <s v="SQL Database Design"/>
    <x v="6"/>
    <x v="2"/>
    <x v="0"/>
    <x v="1"/>
  </r>
  <r>
    <n v="173"/>
    <s v="James Wilson"/>
    <x v="0"/>
    <x v="1"/>
    <n v="3.6"/>
    <x v="0"/>
    <s v="Computer Science"/>
    <x v="7"/>
    <s v="Cloud Infrastructure Management"/>
    <x v="7"/>
    <x v="0"/>
    <x v="1"/>
    <x v="0"/>
  </r>
  <r>
    <n v="174"/>
    <s v="Olivia Clark"/>
    <x v="1"/>
    <x v="0"/>
    <n v="3.5"/>
    <x v="0"/>
    <s v="Computer Science"/>
    <x v="8"/>
    <s v="iOS App Development"/>
    <x v="8"/>
    <x v="2"/>
    <x v="0"/>
    <x v="1"/>
  </r>
  <r>
    <n v="175"/>
    <s v="Matthew Hall"/>
    <x v="0"/>
    <x v="3"/>
    <n v="3.8"/>
    <x v="0"/>
    <s v="Computer Science"/>
    <x v="0"/>
    <s v="Natural Language Processing"/>
    <x v="10"/>
    <x v="0"/>
    <x v="1"/>
    <x v="0"/>
  </r>
  <r>
    <n v="176"/>
    <s v="Elijah Davis"/>
    <x v="0"/>
    <x v="2"/>
    <n v="3.7"/>
    <x v="0"/>
    <s v="Computer Science"/>
    <x v="3"/>
    <s v="Full-Stack Web App"/>
    <x v="3"/>
    <x v="2"/>
    <x v="0"/>
    <x v="2"/>
  </r>
  <r>
    <n v="177"/>
    <s v="Emma Johnson"/>
    <x v="1"/>
    <x v="1"/>
    <n v="3.6"/>
    <x v="0"/>
    <s v="Computer Science"/>
    <x v="4"/>
    <s v="Security Auditing"/>
    <x v="4"/>
    <x v="0"/>
    <x v="2"/>
    <x v="0"/>
  </r>
  <r>
    <n v="178"/>
    <s v="Liam Wilson"/>
    <x v="0"/>
    <x v="0"/>
    <n v="3.4"/>
    <x v="1"/>
    <s v="Computer Science"/>
    <x v="5"/>
    <s v="Natural Language Processing"/>
    <x v="5"/>
    <x v="0"/>
    <x v="2"/>
    <x v="0"/>
  </r>
  <r>
    <n v="179"/>
    <s v="Sophia Johnson"/>
    <x v="1"/>
    <x v="2"/>
    <n v="3.5"/>
    <x v="0"/>
    <s v="Computer Science"/>
    <x v="6"/>
    <s v="SQL Database Administration"/>
    <x v="6"/>
    <x v="2"/>
    <x v="0"/>
    <x v="1"/>
  </r>
  <r>
    <n v="180"/>
    <s v="Michael Brown"/>
    <x v="0"/>
    <x v="3"/>
    <n v="3.7"/>
    <x v="0"/>
    <s v="Computer Science"/>
    <x v="7"/>
    <s v="Cloud Solution Architecture"/>
    <x v="7"/>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FA397-5CB2-4196-AF8A-BF22D96E7891}" name="Average GPA by Career Intere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Future Career">
  <location ref="A174:B181" firstHeaderRow="1" firstDataRow="1" firstDataCol="1"/>
  <pivotFields count="12">
    <pivotField dataField="1" numFmtId="1" showAll="0"/>
    <pivotField showAll="0"/>
    <pivotField showAll="0">
      <items count="3">
        <item x="1"/>
        <item x="0"/>
        <item t="default"/>
      </items>
    </pivotField>
    <pivotField numFmtId="1" showAll="0">
      <items count="10">
        <item x="1"/>
        <item x="0"/>
        <item x="2"/>
        <item x="3"/>
        <item x="7"/>
        <item x="8"/>
        <item x="5"/>
        <item x="4"/>
        <item x="6"/>
        <item t="default"/>
      </items>
    </pivotField>
    <pivotField numFmtId="164" showAll="0">
      <items count="9">
        <item x="1"/>
        <item x="7"/>
        <item x="4"/>
        <item x="0"/>
        <item x="6"/>
        <item x="3"/>
        <item x="2"/>
        <item x="5"/>
        <item t="default"/>
      </items>
    </pivotField>
    <pivotField showAll="0">
      <items count="2">
        <item x="0"/>
        <item t="default"/>
      </items>
    </pivotField>
    <pivotField showAll="0"/>
    <pivotField showAll="0">
      <items count="66">
        <item x="16"/>
        <item x="19"/>
        <item x="9"/>
        <item x="8"/>
        <item x="55"/>
        <item x="18"/>
        <item x="7"/>
        <item x="49"/>
        <item x="0"/>
        <item x="53"/>
        <item x="34"/>
        <item x="61"/>
        <item x="44"/>
        <item x="57"/>
        <item x="62"/>
        <item x="1"/>
        <item x="64"/>
        <item x="22"/>
        <item x="21"/>
        <item x="30"/>
        <item x="43"/>
        <item x="2"/>
        <item x="23"/>
        <item x="56"/>
        <item x="20"/>
        <item x="24"/>
        <item x="3"/>
        <item x="12"/>
        <item x="13"/>
        <item x="31"/>
        <item x="42"/>
        <item x="47"/>
        <item x="51"/>
        <item x="5"/>
        <item x="11"/>
        <item x="54"/>
        <item x="15"/>
        <item x="17"/>
        <item x="33"/>
        <item x="36"/>
        <item x="50"/>
        <item x="27"/>
        <item x="10"/>
        <item x="4"/>
        <item x="48"/>
        <item x="29"/>
        <item x="28"/>
        <item x="41"/>
        <item x="45"/>
        <item x="37"/>
        <item x="63"/>
        <item x="26"/>
        <item x="40"/>
        <item x="59"/>
        <item x="39"/>
        <item x="32"/>
        <item x="14"/>
        <item x="60"/>
        <item x="52"/>
        <item x="6"/>
        <item x="25"/>
        <item x="35"/>
        <item x="46"/>
        <item x="38"/>
        <item x="58"/>
        <item t="default"/>
      </items>
    </pivotField>
    <pivotField axis="axisRow" showAll="0" measureFilter="1" sortType="descending">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8"/>
  </rowFields>
  <rowItems count="7">
    <i>
      <x v="32"/>
    </i>
    <i>
      <x v="22"/>
    </i>
    <i>
      <x v="18"/>
    </i>
    <i>
      <x v="8"/>
    </i>
    <i>
      <x v="3"/>
    </i>
    <i>
      <x v="29"/>
    </i>
    <i t="grand">
      <x/>
    </i>
  </rowItems>
  <colItems count="1">
    <i/>
  </colItems>
  <dataFields count="1">
    <dataField name="Count of Student ID" fld="0" subtotal="count" baseField="8" baseItem="3"/>
  </dataFields>
  <chartFormats count="2">
    <chartFormat chart="18"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AA91D0-8E78-4A7C-9A3A-1FD61A8EA549}" name="Average GPA by Pyth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ython">
  <location ref="A1:B5" firstHeaderRow="1" firstDataRow="1" firstDataCol="1"/>
  <pivotFields count="12">
    <pivotField dataField="1" numFmtId="1" showAll="0"/>
    <pivotField showAll="0"/>
    <pivotField showAll="0">
      <items count="3">
        <item x="1"/>
        <item x="0"/>
        <item t="default"/>
      </items>
    </pivotField>
    <pivotField numFmtId="1" showAll="0">
      <items count="10">
        <item x="1"/>
        <item x="0"/>
        <item x="2"/>
        <item x="3"/>
        <item x="7"/>
        <item x="8"/>
        <item x="5"/>
        <item x="4"/>
        <item x="6"/>
        <item t="default"/>
      </items>
    </pivotField>
    <pivotField numFmtId="164" showAll="0"/>
    <pivotField showAll="0">
      <items count="2">
        <item x="0"/>
        <item t="default"/>
      </items>
    </pivotField>
    <pivotField showAll="0"/>
    <pivotField showAll="0"/>
    <pivotField showAll="0">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4">
        <item x="1"/>
        <item x="2"/>
        <item x="0"/>
        <item t="default"/>
      </items>
    </pivotField>
  </pivotFields>
  <rowFields count="1">
    <field x="9"/>
  </rowFields>
  <rowItems count="4">
    <i>
      <x/>
    </i>
    <i>
      <x v="2"/>
    </i>
    <i>
      <x v="1"/>
    </i>
    <i t="grand">
      <x/>
    </i>
  </rowItems>
  <colItems count="1">
    <i/>
  </colItems>
  <dataFields count="1">
    <dataField name="Count of Student ID" fld="0" subtotal="count"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00696-8A58-401D-AD69-B7BD8FFC108F}" name="Average GPA by Interested Doma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Interested Domain">
  <location ref="A48:B57" firstHeaderRow="1" firstDataRow="1" firstDataCol="1"/>
  <pivotFields count="12">
    <pivotField numFmtId="1" showAll="0"/>
    <pivotField showAll="0"/>
    <pivotField showAll="0">
      <items count="3">
        <item x="1"/>
        <item x="0"/>
        <item t="default"/>
      </items>
    </pivotField>
    <pivotField numFmtId="1" showAll="0">
      <items count="10">
        <item x="1"/>
        <item x="0"/>
        <item x="2"/>
        <item x="3"/>
        <item x="7"/>
        <item x="8"/>
        <item x="5"/>
        <item x="4"/>
        <item x="6"/>
        <item t="default"/>
      </items>
    </pivotField>
    <pivotField dataField="1" numFmtId="164" showAll="0">
      <items count="9">
        <item x="1"/>
        <item x="7"/>
        <item x="4"/>
        <item x="0"/>
        <item x="6"/>
        <item x="3"/>
        <item x="2"/>
        <item x="5"/>
        <item t="default"/>
      </items>
    </pivotField>
    <pivotField showAll="0">
      <items count="2">
        <item x="0"/>
        <item t="default"/>
      </items>
    </pivotField>
    <pivotField axis="axisRow" showAll="0" measureFilter="1" sortType="descending">
      <items count="28">
        <item x="0"/>
        <item x="14"/>
        <item x="19"/>
        <item x="21"/>
        <item x="7"/>
        <item x="9"/>
        <item x="13"/>
        <item x="4"/>
        <item x="17"/>
        <item x="23"/>
        <item x="1"/>
        <item x="6"/>
        <item x="26"/>
        <item x="25"/>
        <item x="12"/>
        <item x="24"/>
        <item x="18"/>
        <item x="22"/>
        <item x="15"/>
        <item x="5"/>
        <item x="8"/>
        <item x="16"/>
        <item x="11"/>
        <item x="20"/>
        <item x="2"/>
        <item x="10"/>
        <item x="3"/>
        <item t="default"/>
      </items>
      <autoSortScope>
        <pivotArea dataOnly="0" outline="0" fieldPosition="0">
          <references count="1">
            <reference field="4294967294" count="1" selected="0">
              <x v="0"/>
            </reference>
          </references>
        </pivotArea>
      </autoSortScope>
    </pivotField>
    <pivotField showAll="0">
      <items count="66">
        <item x="16"/>
        <item x="19"/>
        <item x="9"/>
        <item x="8"/>
        <item x="55"/>
        <item x="18"/>
        <item x="7"/>
        <item x="49"/>
        <item x="0"/>
        <item x="53"/>
        <item x="34"/>
        <item x="61"/>
        <item x="44"/>
        <item x="57"/>
        <item x="62"/>
        <item x="1"/>
        <item x="64"/>
        <item x="22"/>
        <item x="21"/>
        <item x="30"/>
        <item x="43"/>
        <item x="2"/>
        <item x="23"/>
        <item x="56"/>
        <item x="20"/>
        <item x="24"/>
        <item x="3"/>
        <item x="12"/>
        <item x="13"/>
        <item x="31"/>
        <item x="42"/>
        <item x="47"/>
        <item x="51"/>
        <item x="5"/>
        <item x="11"/>
        <item x="54"/>
        <item x="15"/>
        <item x="17"/>
        <item x="33"/>
        <item x="36"/>
        <item x="50"/>
        <item x="27"/>
        <item x="10"/>
        <item x="4"/>
        <item x="48"/>
        <item x="29"/>
        <item x="28"/>
        <item x="41"/>
        <item x="45"/>
        <item x="37"/>
        <item x="63"/>
        <item x="26"/>
        <item x="40"/>
        <item x="59"/>
        <item x="39"/>
        <item x="32"/>
        <item x="14"/>
        <item x="60"/>
        <item x="52"/>
        <item x="6"/>
        <item x="25"/>
        <item x="35"/>
        <item x="46"/>
        <item x="38"/>
        <item x="58"/>
        <item t="default"/>
      </items>
    </pivotField>
    <pivotField showAll="0"/>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6"/>
  </rowFields>
  <rowItems count="9">
    <i>
      <x v="21"/>
    </i>
    <i>
      <x v="13"/>
    </i>
    <i>
      <x v="25"/>
    </i>
    <i>
      <x v="23"/>
    </i>
    <i>
      <x v="9"/>
    </i>
    <i>
      <x v="19"/>
    </i>
    <i>
      <x v="22"/>
    </i>
    <i>
      <x v="1"/>
    </i>
    <i t="grand">
      <x/>
    </i>
  </rowItems>
  <colItems count="1">
    <i/>
  </colItems>
  <dataFields count="1">
    <dataField name="Average of GPA" fld="4" subtotal="average" baseField="6" baseItem="0" numFmtId="164"/>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641A58-2589-4622-8FFA-A012E0934175}" name="Average GPA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
  <location ref="A91:B101" firstHeaderRow="1" firstDataRow="1" firstDataCol="1"/>
  <pivotFields count="12">
    <pivotField numFmtId="1" showAll="0"/>
    <pivotField showAll="0"/>
    <pivotField showAll="0">
      <items count="3">
        <item x="1"/>
        <item x="0"/>
        <item t="default"/>
      </items>
    </pivotField>
    <pivotField axis="axisRow" numFmtId="1" showAll="0">
      <items count="10">
        <item x="1"/>
        <item x="0"/>
        <item x="2"/>
        <item x="3"/>
        <item x="7"/>
        <item x="8"/>
        <item x="5"/>
        <item x="4"/>
        <item x="6"/>
        <item t="default"/>
      </items>
    </pivotField>
    <pivotField dataField="1" numFmtId="164" showAll="0">
      <items count="9">
        <item x="1"/>
        <item x="7"/>
        <item x="4"/>
        <item x="0"/>
        <item x="6"/>
        <item x="3"/>
        <item x="2"/>
        <item x="5"/>
        <item t="default"/>
      </items>
    </pivotField>
    <pivotField showAll="0">
      <items count="2">
        <item x="0"/>
        <item t="default"/>
      </items>
    </pivotField>
    <pivotField showAll="0"/>
    <pivotField showAll="0">
      <items count="66">
        <item x="16"/>
        <item x="19"/>
        <item x="9"/>
        <item x="8"/>
        <item x="55"/>
        <item x="18"/>
        <item x="7"/>
        <item x="49"/>
        <item x="0"/>
        <item x="53"/>
        <item x="34"/>
        <item x="61"/>
        <item x="44"/>
        <item x="57"/>
        <item x="62"/>
        <item x="1"/>
        <item x="64"/>
        <item x="22"/>
        <item x="21"/>
        <item x="30"/>
        <item x="43"/>
        <item x="2"/>
        <item x="23"/>
        <item x="56"/>
        <item x="20"/>
        <item x="24"/>
        <item x="3"/>
        <item x="12"/>
        <item x="13"/>
        <item x="31"/>
        <item x="42"/>
        <item x="47"/>
        <item x="51"/>
        <item x="5"/>
        <item x="11"/>
        <item x="54"/>
        <item x="15"/>
        <item x="17"/>
        <item x="33"/>
        <item x="36"/>
        <item x="50"/>
        <item x="27"/>
        <item x="10"/>
        <item x="4"/>
        <item x="48"/>
        <item x="29"/>
        <item x="28"/>
        <item x="41"/>
        <item x="45"/>
        <item x="37"/>
        <item x="63"/>
        <item x="26"/>
        <item x="40"/>
        <item x="59"/>
        <item x="39"/>
        <item x="32"/>
        <item x="14"/>
        <item x="60"/>
        <item x="52"/>
        <item x="6"/>
        <item x="25"/>
        <item x="35"/>
        <item x="46"/>
        <item x="38"/>
        <item x="58"/>
        <item t="default"/>
      </items>
    </pivotField>
    <pivotField showAll="0"/>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3"/>
  </rowFields>
  <rowItems count="10">
    <i>
      <x/>
    </i>
    <i>
      <x v="1"/>
    </i>
    <i>
      <x v="2"/>
    </i>
    <i>
      <x v="3"/>
    </i>
    <i>
      <x v="4"/>
    </i>
    <i>
      <x v="5"/>
    </i>
    <i>
      <x v="6"/>
    </i>
    <i>
      <x v="7"/>
    </i>
    <i>
      <x v="8"/>
    </i>
    <i t="grand">
      <x/>
    </i>
  </rowItems>
  <colItems count="1">
    <i/>
  </colItems>
  <dataFields count="1">
    <dataField name="Average of GPA" fld="4" subtotal="average" baseField="3" baseItem="0" numFmtId="164"/>
  </dataFields>
  <chartFormats count="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34BA69-C8B5-4101-B13F-3F7287FD5307}" name="Average GPA by Jav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ava">
  <location ref="A27:B31" firstHeaderRow="1" firstDataRow="1" firstDataCol="1"/>
  <pivotFields count="12">
    <pivotField dataField="1" numFmtId="1" showAll="0"/>
    <pivotField showAll="0"/>
    <pivotField showAll="0">
      <items count="3">
        <item x="1"/>
        <item x="0"/>
        <item t="default"/>
      </items>
    </pivotField>
    <pivotField numFmtId="1" showAll="0">
      <items count="10">
        <item x="1"/>
        <item x="0"/>
        <item x="2"/>
        <item x="3"/>
        <item x="7"/>
        <item x="8"/>
        <item x="5"/>
        <item x="4"/>
        <item x="6"/>
        <item t="default"/>
      </items>
    </pivotField>
    <pivotField numFmtId="164" showAll="0"/>
    <pivotField showAll="0">
      <items count="2">
        <item x="0"/>
        <item t="default"/>
      </items>
    </pivotField>
    <pivotField showAll="0"/>
    <pivotField showAll="0"/>
    <pivotField showAll="0"/>
    <pivotField showAll="0">
      <items count="4">
        <item x="1"/>
        <item x="0"/>
        <item x="2"/>
        <item t="default"/>
      </items>
    </pivotField>
    <pivotField showAll="0">
      <items count="4">
        <item x="2"/>
        <item x="0"/>
        <item x="1"/>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s>
  <rowFields count="1">
    <field x="11"/>
  </rowFields>
  <rowItems count="4">
    <i>
      <x/>
    </i>
    <i>
      <x v="2"/>
    </i>
    <i>
      <x v="1"/>
    </i>
    <i t="grand">
      <x/>
    </i>
  </rowItems>
  <colItems count="1">
    <i/>
  </colItems>
  <dataFields count="1">
    <dataField name="Count of Student ID" fld="0" subtotal="count" baseField="11"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6B0493-990F-461B-90A9-66EF29CD8D9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6:B170" firstHeaderRow="1" firstDataRow="1" firstDataCol="1"/>
  <pivotFields count="16">
    <pivotField numFmtId="1" showAll="0"/>
    <pivotField showAll="0"/>
    <pivotField showAll="0"/>
    <pivotField numFmtId="1" showAll="0"/>
    <pivotField dataField="1" numFmtId="164" showAll="0"/>
    <pivotField showAll="0"/>
    <pivotField showAll="0"/>
    <pivotField showAll="0"/>
    <pivotField axis="axisRow" showAll="0" sortType="descending">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8"/>
  </rowFields>
  <rowItems count="34">
    <i>
      <x v="23"/>
    </i>
    <i>
      <x v="11"/>
    </i>
    <i>
      <x v="25"/>
    </i>
    <i>
      <x v="9"/>
    </i>
    <i>
      <x v="6"/>
    </i>
    <i>
      <x v="24"/>
    </i>
    <i>
      <x v="20"/>
    </i>
    <i>
      <x v="29"/>
    </i>
    <i>
      <x v="1"/>
    </i>
    <i>
      <x v="27"/>
    </i>
    <i>
      <x v="31"/>
    </i>
    <i>
      <x v="3"/>
    </i>
    <i>
      <x v="18"/>
    </i>
    <i>
      <x/>
    </i>
    <i>
      <x v="32"/>
    </i>
    <i>
      <x v="16"/>
    </i>
    <i>
      <x v="13"/>
    </i>
    <i>
      <x v="15"/>
    </i>
    <i>
      <x v="10"/>
    </i>
    <i>
      <x v="8"/>
    </i>
    <i>
      <x v="5"/>
    </i>
    <i>
      <x v="17"/>
    </i>
    <i>
      <x v="28"/>
    </i>
    <i>
      <x v="14"/>
    </i>
    <i>
      <x v="12"/>
    </i>
    <i>
      <x v="21"/>
    </i>
    <i>
      <x v="22"/>
    </i>
    <i>
      <x v="7"/>
    </i>
    <i>
      <x v="19"/>
    </i>
    <i>
      <x v="26"/>
    </i>
    <i>
      <x v="30"/>
    </i>
    <i>
      <x v="2"/>
    </i>
    <i>
      <x v="4"/>
    </i>
    <i t="grand">
      <x/>
    </i>
  </rowItems>
  <colItems count="1">
    <i/>
  </colItems>
  <dataFields count="1">
    <dataField name="Average of GPA" fld="4" subtotal="average" baseField="8"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8DA8B5-068E-4793-95B3-A08884E398AF}" name="Student Gender Compos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Age">
  <location ref="A105:B108" firstHeaderRow="1" firstDataRow="1" firstDataCol="1"/>
  <pivotFields count="12">
    <pivotField dataField="1" numFmtId="1" showAll="0"/>
    <pivotField showAll="0"/>
    <pivotField axis="axisRow" showAll="0">
      <items count="3">
        <item x="1"/>
        <item x="0"/>
        <item t="default"/>
      </items>
    </pivotField>
    <pivotField numFmtId="1" showAll="0">
      <items count="10">
        <item x="1"/>
        <item x="0"/>
        <item x="2"/>
        <item x="3"/>
        <item x="7"/>
        <item x="8"/>
        <item x="5"/>
        <item x="4"/>
        <item x="6"/>
        <item t="default"/>
      </items>
    </pivotField>
    <pivotField numFmtId="164" showAll="0">
      <items count="9">
        <item x="1"/>
        <item x="7"/>
        <item x="4"/>
        <item x="0"/>
        <item x="6"/>
        <item x="3"/>
        <item x="2"/>
        <item x="5"/>
        <item t="default"/>
      </items>
    </pivotField>
    <pivotField showAll="0">
      <items count="2">
        <item x="0"/>
        <item t="default"/>
      </items>
    </pivotField>
    <pivotField showAll="0"/>
    <pivotField showAll="0">
      <items count="66">
        <item x="16"/>
        <item x="19"/>
        <item x="9"/>
        <item x="8"/>
        <item x="55"/>
        <item x="18"/>
        <item x="7"/>
        <item x="49"/>
        <item x="0"/>
        <item x="53"/>
        <item x="34"/>
        <item x="61"/>
        <item x="44"/>
        <item x="57"/>
        <item x="62"/>
        <item x="1"/>
        <item x="64"/>
        <item x="22"/>
        <item x="21"/>
        <item x="30"/>
        <item x="43"/>
        <item x="2"/>
        <item x="23"/>
        <item x="56"/>
        <item x="20"/>
        <item x="24"/>
        <item x="3"/>
        <item x="12"/>
        <item x="13"/>
        <item x="31"/>
        <item x="42"/>
        <item x="47"/>
        <item x="51"/>
        <item x="5"/>
        <item x="11"/>
        <item x="54"/>
        <item x="15"/>
        <item x="17"/>
        <item x="33"/>
        <item x="36"/>
        <item x="50"/>
        <item x="27"/>
        <item x="10"/>
        <item x="4"/>
        <item x="48"/>
        <item x="29"/>
        <item x="28"/>
        <item x="41"/>
        <item x="45"/>
        <item x="37"/>
        <item x="63"/>
        <item x="26"/>
        <item x="40"/>
        <item x="59"/>
        <item x="39"/>
        <item x="32"/>
        <item x="14"/>
        <item x="60"/>
        <item x="52"/>
        <item x="6"/>
        <item x="25"/>
        <item x="35"/>
        <item x="46"/>
        <item x="38"/>
        <item x="58"/>
        <item t="default"/>
      </items>
    </pivotField>
    <pivotField showAll="0"/>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2"/>
  </rowFields>
  <rowItems count="3">
    <i>
      <x/>
    </i>
    <i>
      <x v="1"/>
    </i>
    <i t="grand">
      <x/>
    </i>
  </rowItems>
  <colItems count="1">
    <i/>
  </colItems>
  <dataFields count="1">
    <dataField name="Count of Student ID" fld="0" subtotal="count" baseField="2" baseItem="0"/>
  </dataFields>
  <chartFormats count="7">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2" count="1" selected="0">
            <x v="0"/>
          </reference>
        </references>
      </pivotArea>
    </chartFormat>
    <chartFormat chart="19"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206E3F-BF89-4407-B8F3-71C4802508E3}" name="Average GPA by SQ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QL">
  <location ref="A18:B22" firstHeaderRow="1" firstDataRow="1" firstDataCol="1"/>
  <pivotFields count="12">
    <pivotField dataField="1" numFmtId="1" showAll="0"/>
    <pivotField showAll="0"/>
    <pivotField showAll="0">
      <items count="3">
        <item x="1"/>
        <item x="0"/>
        <item t="default"/>
      </items>
    </pivotField>
    <pivotField numFmtId="1" showAll="0">
      <items count="10">
        <item x="1"/>
        <item x="0"/>
        <item x="2"/>
        <item x="3"/>
        <item x="7"/>
        <item x="8"/>
        <item x="5"/>
        <item x="4"/>
        <item x="6"/>
        <item t="default"/>
      </items>
    </pivotField>
    <pivotField numFmtId="164" showAll="0">
      <items count="9">
        <item x="1"/>
        <item x="7"/>
        <item x="4"/>
        <item x="0"/>
        <item x="6"/>
        <item x="3"/>
        <item x="2"/>
        <item x="5"/>
        <item t="default"/>
      </items>
    </pivotField>
    <pivotField showAll="0">
      <items count="2">
        <item x="0"/>
        <item t="default"/>
      </items>
    </pivotField>
    <pivotField showAll="0"/>
    <pivotField showAll="0"/>
    <pivotField showAll="0"/>
    <pivotField showAll="0">
      <items count="4">
        <item x="1"/>
        <item x="0"/>
        <item x="2"/>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10"/>
  </rowFields>
  <rowItems count="4">
    <i>
      <x v="2"/>
    </i>
    <i>
      <x/>
    </i>
    <i>
      <x v="1"/>
    </i>
    <i t="grand">
      <x/>
    </i>
  </rowItems>
  <colItems count="1">
    <i/>
  </colItems>
  <dataFields count="1">
    <dataField name="Count of Student ID" fld="0" subtotal="count" baseField="10" baseItem="1"/>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2FF03E-2A5B-492B-BBEA-681C32802CB8}"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Gender">
  <location ref="A124:B127" firstHeaderRow="1" firstDataRow="1" firstDataCol="1"/>
  <pivotFields count="13">
    <pivotField dataField="1" numFmtId="1" showAll="0"/>
    <pivotField showAll="0"/>
    <pivotField axis="axisRow" showAll="0">
      <items count="3">
        <item x="1"/>
        <item x="0"/>
        <item t="default"/>
      </items>
    </pivotField>
    <pivotField numFmtId="1" showAll="0">
      <items count="7">
        <item x="0"/>
        <item x="1"/>
        <item x="2"/>
        <item x="3"/>
        <item x="4"/>
        <item x="5"/>
        <item t="default"/>
      </items>
    </pivotField>
    <pivotField numFmtId="164" showAll="0"/>
    <pivotField showAll="0">
      <items count="3">
        <item x="0"/>
        <item x="1"/>
        <item t="default"/>
      </items>
    </pivotField>
    <pivotField showAll="0"/>
    <pivotField showAll="0">
      <items count="28">
        <item x="0"/>
        <item x="14"/>
        <item x="19"/>
        <item x="21"/>
        <item x="7"/>
        <item x="9"/>
        <item x="13"/>
        <item x="4"/>
        <item x="17"/>
        <item x="23"/>
        <item x="1"/>
        <item x="6"/>
        <item x="26"/>
        <item x="25"/>
        <item x="12"/>
        <item x="24"/>
        <item x="18"/>
        <item x="22"/>
        <item x="15"/>
        <item x="5"/>
        <item x="8"/>
        <item x="16"/>
        <item x="11"/>
        <item x="20"/>
        <item x="2"/>
        <item x="10"/>
        <item x="3"/>
        <item t="default"/>
      </items>
    </pivotField>
    <pivotField showAll="0"/>
    <pivotField showAll="0">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pivotField>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2"/>
  </rowFields>
  <rowItems count="3">
    <i>
      <x/>
    </i>
    <i>
      <x v="1"/>
    </i>
    <i t="grand">
      <x/>
    </i>
  </rowItems>
  <colItems count="1">
    <i/>
  </colItems>
  <dataFields count="1">
    <dataField name="Count of Student_ID" fld="0" subtotal="count" baseField="2" baseItem="0"/>
  </dataFields>
  <chartFormats count="6">
    <chartFormat chart="12"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0"/>
          </reference>
        </references>
      </pivotArea>
    </chartFormat>
    <chartFormat chart="16" format="6">
      <pivotArea type="data" outline="0" fieldPosition="0">
        <references count="2">
          <reference field="4294967294" count="1" selected="0">
            <x v="0"/>
          </reference>
          <reference field="2" count="1" selected="0">
            <x v="1"/>
          </reference>
        </references>
      </pivotArea>
    </chartFormat>
    <chartFormat chart="12" format="1">
      <pivotArea type="data" outline="0" fieldPosition="0">
        <references count="2">
          <reference field="4294967294" count="1" selected="0">
            <x v="0"/>
          </reference>
          <reference field="2" count="1" selected="0">
            <x v="0"/>
          </reference>
        </references>
      </pivotArea>
    </chartFormat>
    <chartFormat chart="12"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495480-C4A4-4E7C-95F8-030A4F6101C9}"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Future Career">
  <location ref="A103:D111" firstHeaderRow="1" firstDataRow="2" firstDataCol="1"/>
  <pivotFields count="13">
    <pivotField numFmtId="1" showAll="0"/>
    <pivotField showAll="0"/>
    <pivotField showAll="0">
      <items count="3">
        <item x="1"/>
        <item x="0"/>
        <item t="default"/>
      </items>
    </pivotField>
    <pivotField numFmtId="1" showAll="0">
      <items count="7">
        <item x="0"/>
        <item x="1"/>
        <item x="2"/>
        <item x="3"/>
        <item x="4"/>
        <item x="5"/>
        <item t="default"/>
      </items>
    </pivotField>
    <pivotField numFmtId="164" showAll="0"/>
    <pivotField axis="axisCol" dataField="1" showAll="0">
      <items count="3">
        <item x="0"/>
        <item x="1"/>
        <item t="default"/>
      </items>
    </pivotField>
    <pivotField showAll="0"/>
    <pivotField showAll="0" measureFilter="1">
      <items count="28">
        <item x="0"/>
        <item x="14"/>
        <item x="19"/>
        <item x="21"/>
        <item x="7"/>
        <item x="9"/>
        <item x="13"/>
        <item x="4"/>
        <item x="17"/>
        <item x="23"/>
        <item x="1"/>
        <item x="6"/>
        <item x="26"/>
        <item x="25"/>
        <item x="12"/>
        <item x="24"/>
        <item x="18"/>
        <item x="22"/>
        <item x="15"/>
        <item x="5"/>
        <item x="8"/>
        <item x="16"/>
        <item x="11"/>
        <item x="20"/>
        <item x="2"/>
        <item x="10"/>
        <item x="3"/>
        <item t="default"/>
      </items>
    </pivotField>
    <pivotField showAll="0"/>
    <pivotField axis="axisRow" showAll="0" measureFilter="1" sortType="descending">
      <items count="34">
        <item x="32"/>
        <item x="19"/>
        <item x="26"/>
        <item x="7"/>
        <item x="17"/>
        <item x="14"/>
        <item x="28"/>
        <item x="1"/>
        <item x="6"/>
        <item x="18"/>
        <item x="31"/>
        <item x="30"/>
        <item x="13"/>
        <item x="16"/>
        <item x="11"/>
        <item x="29"/>
        <item x="9"/>
        <item x="23"/>
        <item x="4"/>
        <item x="20"/>
        <item x="5"/>
        <item x="0"/>
        <item x="8"/>
        <item x="21"/>
        <item x="10"/>
        <item x="24"/>
        <item x="15"/>
        <item x="12"/>
        <item x="27"/>
        <item x="2"/>
        <item x="22"/>
        <item x="25"/>
        <item x="3"/>
        <item t="default"/>
      </items>
      <autoSortScope>
        <pivotArea dataOnly="0" outline="0" fieldPosition="0">
          <references count="2">
            <reference field="4294967294" count="1" selected="0">
              <x v="0"/>
            </reference>
            <reference field="5" count="1" selected="0">
              <x v="0"/>
            </reference>
          </references>
        </pivotArea>
      </autoSortScope>
    </pivotField>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9"/>
  </rowFields>
  <rowItems count="7">
    <i>
      <x v="32"/>
    </i>
    <i>
      <x v="18"/>
    </i>
    <i>
      <x v="8"/>
    </i>
    <i>
      <x v="3"/>
    </i>
    <i>
      <x v="29"/>
    </i>
    <i>
      <x v="22"/>
    </i>
    <i t="grand">
      <x/>
    </i>
  </rowItems>
  <colFields count="1">
    <field x="5"/>
  </colFields>
  <colItems count="3">
    <i>
      <x/>
    </i>
    <i>
      <x v="1"/>
    </i>
    <i t="grand">
      <x/>
    </i>
  </colItems>
  <dataFields count="1">
    <dataField name="Count of Grade" fld="5" subtotal="count"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8" format="0" series="1">
      <pivotArea type="data" outline="0" fieldPosition="0">
        <references count="2">
          <reference field="4294967294" count="1" selected="0">
            <x v="0"/>
          </reference>
          <reference field="5" count="1" selected="0">
            <x v="0"/>
          </reference>
        </references>
      </pivotArea>
    </chartFormat>
    <chartFormat chart="8" format="1" series="1">
      <pivotArea type="data" outline="0" fieldPosition="0">
        <references count="2">
          <reference field="4294967294" count="1" selected="0">
            <x v="0"/>
          </reference>
          <reference field="5" count="1" selected="0">
            <x v="1"/>
          </reference>
        </references>
      </pivotArea>
    </chartFormat>
    <chartFormat chart="9" format="2" series="1">
      <pivotArea type="data" outline="0" fieldPosition="0">
        <references count="2">
          <reference field="4294967294" count="1" selected="0">
            <x v="0"/>
          </reference>
          <reference field="5" count="1" selected="0">
            <x v="0"/>
          </reference>
        </references>
      </pivotArea>
    </chartFormat>
    <chartFormat chart="9" format="3"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2">
    <filter fld="7" type="count" evalOrder="-1" id="2" iMeasureFld="0">
      <autoFilter ref="A1">
        <filterColumn colId="0">
          <top10 val="7" filterVal="7"/>
        </filterColumn>
      </autoFilter>
    </filter>
    <filter fld="9"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D232D5-0592-44B9-B630-4B9F30541ED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ython">
  <location ref="A1:B10" firstHeaderRow="1" firstDataRow="1" firstDataCol="1"/>
  <pivotFields count="13">
    <pivotField numFmtId="1" showAll="0"/>
    <pivotField showAll="0"/>
    <pivotField showAll="0">
      <items count="3">
        <item x="1"/>
        <item x="0"/>
        <item t="default"/>
      </items>
    </pivotField>
    <pivotField numFmtId="1" showAll="0">
      <items count="7">
        <item x="0"/>
        <item x="1"/>
        <item x="2"/>
        <item x="3"/>
        <item x="4"/>
        <item x="5"/>
        <item t="default"/>
      </items>
    </pivotField>
    <pivotField numFmtId="164" showAll="0"/>
    <pivotField axis="axisRow" dataField="1" showAll="0">
      <items count="3">
        <item x="0"/>
        <item x="1"/>
        <item t="default"/>
      </items>
    </pivotField>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4">
        <item x="1"/>
        <item x="2"/>
        <item x="0"/>
        <item t="default"/>
      </items>
    </pivotField>
  </pivotFields>
  <rowFields count="2">
    <field x="5"/>
    <field x="10"/>
  </rowFields>
  <rowItems count="9">
    <i>
      <x/>
    </i>
    <i r="1">
      <x/>
    </i>
    <i r="1">
      <x v="2"/>
    </i>
    <i r="1">
      <x v="1"/>
    </i>
    <i>
      <x v="1"/>
    </i>
    <i r="1">
      <x v="2"/>
    </i>
    <i r="1">
      <x v="1"/>
    </i>
    <i r="1">
      <x/>
    </i>
    <i t="grand">
      <x/>
    </i>
  </rowItems>
  <colItems count="1">
    <i/>
  </colItems>
  <dataFields count="1">
    <dataField name="Count of Grade" fld="5"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53EC8D-6D48-475B-A188-3E101AFFC32C}"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location ref="A59:D65" firstHeaderRow="1" firstDataRow="2" firstDataCol="1"/>
  <pivotFields count="13">
    <pivotField numFmtId="1" showAll="0"/>
    <pivotField showAll="0"/>
    <pivotField showAll="0">
      <items count="3">
        <item x="1"/>
        <item x="0"/>
        <item t="default"/>
      </items>
    </pivotField>
    <pivotField axis="axisRow" numFmtId="1" showAll="0">
      <items count="7">
        <item x="0"/>
        <item x="1"/>
        <item x="2"/>
        <item x="3"/>
        <item x="4"/>
        <item x="5"/>
        <item t="default"/>
      </items>
    </pivotField>
    <pivotField numFmtId="164" showAll="0"/>
    <pivotField axis="axisCol" dataField="1" showAll="0">
      <items count="3">
        <item x="0"/>
        <item x="1"/>
        <item t="default"/>
      </items>
    </pivotField>
    <pivotField showAll="0"/>
    <pivotField showAll="0"/>
    <pivotField showAll="0"/>
    <pivotField showAll="0"/>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3"/>
  </rowFields>
  <rowItems count="5">
    <i>
      <x v="1"/>
    </i>
    <i>
      <x v="2"/>
    </i>
    <i>
      <x v="3"/>
    </i>
    <i>
      <x v="4"/>
    </i>
    <i t="grand">
      <x/>
    </i>
  </rowItems>
  <colFields count="1">
    <field x="5"/>
  </colFields>
  <colItems count="3">
    <i>
      <x/>
    </i>
    <i>
      <x v="1"/>
    </i>
    <i t="grand">
      <x/>
    </i>
  </colItems>
  <dataFields count="1">
    <dataField name="Count of Grade" fld="5" subtotal="count" baseField="0" baseItem="0"/>
  </dataFields>
  <chartFormats count="1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5" format="0" series="1">
      <pivotArea type="data" outline="0" fieldPosition="0">
        <references count="2">
          <reference field="4294967294" count="1" selected="0">
            <x v="0"/>
          </reference>
          <reference field="5" count="1" selected="0">
            <x v="0"/>
          </reference>
        </references>
      </pivotArea>
    </chartFormat>
    <chartFormat chart="5"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0"/>
          </reference>
        </references>
      </pivotArea>
    </chartFormat>
    <chartFormat chart="6" format="3" series="1">
      <pivotArea type="data" outline="0" fieldPosition="0">
        <references count="2">
          <reference field="4294967294" count="1" selected="0">
            <x v="0"/>
          </reference>
          <reference field="5" count="1" selected="0">
            <x v="1"/>
          </reference>
        </references>
      </pivotArea>
    </chartFormat>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13" format="4" series="1">
      <pivotArea type="data" outline="0" fieldPosition="0">
        <references count="2">
          <reference field="4294967294" count="1" selected="0">
            <x v="0"/>
          </reference>
          <reference field="5" count="1" selected="0">
            <x v="0"/>
          </reference>
        </references>
      </pivotArea>
    </chartFormat>
    <chartFormat chart="13" format="5" series="1">
      <pivotArea type="data" outline="0" fieldPosition="0">
        <references count="2">
          <reference field="4294967294" count="1" selected="0">
            <x v="0"/>
          </reference>
          <reference field="5" count="1" selected="0">
            <x v="1"/>
          </reference>
        </references>
      </pivotArea>
    </chartFormat>
    <chartFormat chart="13"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D6071D-005D-44C1-80C1-BC2D3FB42F95}"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ava">
  <location ref="A41:B50" firstHeaderRow="1" firstDataRow="1" firstDataCol="1"/>
  <pivotFields count="13">
    <pivotField numFmtId="1" showAll="0"/>
    <pivotField showAll="0"/>
    <pivotField showAll="0">
      <items count="3">
        <item x="1"/>
        <item x="0"/>
        <item t="default"/>
      </items>
    </pivotField>
    <pivotField numFmtId="1" showAll="0">
      <items count="7">
        <item x="0"/>
        <item x="1"/>
        <item x="2"/>
        <item x="3"/>
        <item x="4"/>
        <item x="5"/>
        <item t="default"/>
      </items>
    </pivotField>
    <pivotField numFmtId="164" showAll="0"/>
    <pivotField axis="axisRow" dataField="1" showAll="0">
      <items count="3">
        <item x="0"/>
        <item x="1"/>
        <item t="default"/>
      </items>
    </pivotField>
    <pivotField showAll="0"/>
    <pivotField showAll="0"/>
    <pivotField showAll="0"/>
    <pivotField showAll="0"/>
    <pivotField showAll="0">
      <items count="4">
        <item x="1"/>
        <item x="0"/>
        <item x="2"/>
        <item t="default"/>
      </items>
    </pivotField>
    <pivotField showAll="0">
      <items count="4">
        <item x="2"/>
        <item x="0"/>
        <item x="1"/>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s>
  <rowFields count="2">
    <field x="5"/>
    <field x="12"/>
  </rowFields>
  <rowItems count="9">
    <i>
      <x/>
    </i>
    <i r="1">
      <x/>
    </i>
    <i r="1">
      <x v="2"/>
    </i>
    <i r="1">
      <x v="1"/>
    </i>
    <i>
      <x v="1"/>
    </i>
    <i r="1">
      <x/>
    </i>
    <i r="1">
      <x v="2"/>
    </i>
    <i r="1">
      <x v="1"/>
    </i>
    <i t="grand">
      <x/>
    </i>
  </rowItems>
  <colItems count="1">
    <i/>
  </colItems>
  <dataFields count="1">
    <dataField name="Count of Grade" fld="5"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8B944D-1A3A-4A8A-8EC6-3069D7C5D869}"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terested Domain">
  <location ref="A79:D90" firstHeaderRow="1" firstDataRow="2" firstDataCol="1"/>
  <pivotFields count="13">
    <pivotField numFmtId="1" showAll="0"/>
    <pivotField showAll="0"/>
    <pivotField showAll="0">
      <items count="3">
        <item x="1"/>
        <item x="0"/>
        <item t="default"/>
      </items>
    </pivotField>
    <pivotField numFmtId="1" showAll="0">
      <items count="7">
        <item x="0"/>
        <item x="1"/>
        <item x="2"/>
        <item x="3"/>
        <item x="4"/>
        <item x="5"/>
        <item t="default"/>
      </items>
    </pivotField>
    <pivotField numFmtId="164" showAll="0"/>
    <pivotField axis="axisCol" dataField="1" showAll="0">
      <items count="3">
        <item x="0"/>
        <item x="1"/>
        <item t="default"/>
      </items>
    </pivotField>
    <pivotField showAll="0"/>
    <pivotField axis="axisRow" showAll="0" measureFilter="1" sortType="descending">
      <items count="28">
        <item x="0"/>
        <item x="14"/>
        <item x="19"/>
        <item x="21"/>
        <item x="7"/>
        <item x="9"/>
        <item x="13"/>
        <item x="4"/>
        <item x="17"/>
        <item x="23"/>
        <item x="1"/>
        <item x="6"/>
        <item x="26"/>
        <item x="25"/>
        <item x="12"/>
        <item x="24"/>
        <item x="18"/>
        <item x="22"/>
        <item x="15"/>
        <item x="5"/>
        <item x="8"/>
        <item x="16"/>
        <item x="11"/>
        <item x="20"/>
        <item x="2"/>
        <item x="10"/>
        <item x="3"/>
        <item t="default"/>
      </items>
      <autoSortScope>
        <pivotArea dataOnly="0" outline="0" fieldPosition="0">
          <references count="2">
            <reference field="4294967294" count="1" selected="0">
              <x v="0"/>
            </reference>
            <reference field="5" count="1" selected="0">
              <x v="0"/>
            </reference>
          </references>
        </pivotArea>
      </autoSortScope>
    </pivotField>
    <pivotField showAll="0"/>
    <pivotField showAll="0"/>
    <pivotField showAll="0">
      <items count="4">
        <item x="1"/>
        <item x="0"/>
        <item x="2"/>
        <item t="default"/>
      </items>
    </pivotField>
    <pivotField showAll="0">
      <items count="4">
        <item x="2"/>
        <item x="0"/>
        <item x="1"/>
        <item t="default"/>
      </items>
    </pivotField>
    <pivotField showAll="0">
      <items count="4">
        <item x="1"/>
        <item x="2"/>
        <item x="0"/>
        <item t="default"/>
      </items>
    </pivotField>
  </pivotFields>
  <rowFields count="1">
    <field x="7"/>
  </rowFields>
  <rowItems count="10">
    <i>
      <x/>
    </i>
    <i>
      <x v="7"/>
    </i>
    <i>
      <x v="26"/>
    </i>
    <i>
      <x v="11"/>
    </i>
    <i>
      <x v="4"/>
    </i>
    <i>
      <x v="5"/>
    </i>
    <i>
      <x v="19"/>
    </i>
    <i>
      <x v="20"/>
    </i>
    <i>
      <x v="10"/>
    </i>
    <i t="grand">
      <x/>
    </i>
  </rowItems>
  <colFields count="1">
    <field x="5"/>
  </colFields>
  <colItems count="3">
    <i>
      <x/>
    </i>
    <i>
      <x v="1"/>
    </i>
    <i t="grand">
      <x/>
    </i>
  </colItems>
  <dataFields count="1">
    <dataField name="Count of Grade" fld="5" subtotal="count"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8" format="2" series="1">
      <pivotArea type="data" outline="0" fieldPosition="0">
        <references count="2">
          <reference field="4294967294" count="1" selected="0">
            <x v="0"/>
          </reference>
          <reference field="5" count="1" selected="0">
            <x v="0"/>
          </reference>
        </references>
      </pivotArea>
    </chartFormat>
    <chartFormat chart="8" format="3"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B30673-8F3F-467B-9DA1-54116E52C817}"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QL">
  <location ref="A21:B30" firstHeaderRow="1" firstDataRow="1" firstDataCol="1"/>
  <pivotFields count="13">
    <pivotField numFmtId="1" showAll="0"/>
    <pivotField showAll="0"/>
    <pivotField showAll="0">
      <items count="3">
        <item x="1"/>
        <item x="0"/>
        <item t="default"/>
      </items>
    </pivotField>
    <pivotField numFmtId="1" showAll="0">
      <items count="7">
        <item x="0"/>
        <item x="1"/>
        <item x="2"/>
        <item x="3"/>
        <item x="4"/>
        <item x="5"/>
        <item t="default"/>
      </items>
    </pivotField>
    <pivotField numFmtId="164" showAll="0"/>
    <pivotField axis="axisRow" dataField="1" showAll="0">
      <items count="3">
        <item x="0"/>
        <item x="1"/>
        <item t="default"/>
      </items>
    </pivotField>
    <pivotField showAll="0"/>
    <pivotField showAll="0"/>
    <pivotField showAll="0"/>
    <pivotField showAll="0"/>
    <pivotField showAll="0">
      <items count="4">
        <item x="1"/>
        <item x="0"/>
        <item x="2"/>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2">
    <field x="5"/>
    <field x="11"/>
  </rowFields>
  <rowItems count="9">
    <i>
      <x/>
    </i>
    <i r="1">
      <x v="2"/>
    </i>
    <i r="1">
      <x/>
    </i>
    <i r="1">
      <x v="1"/>
    </i>
    <i>
      <x v="1"/>
    </i>
    <i r="1">
      <x/>
    </i>
    <i r="1">
      <x v="1"/>
    </i>
    <i r="1">
      <x v="2"/>
    </i>
    <i t="grand">
      <x/>
    </i>
  </rowItems>
  <colItems count="1">
    <i/>
  </colItems>
  <dataFields count="1">
    <dataField name="Count of Grade" fld="5"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ython" xr10:uid="{46A5A3F8-8E2B-4A31-8D76-69858BBA10DF}" sourceName="Python">
  <pivotTables>
    <pivotTable tabId="3" name="Average GPA by Python"/>
    <pivotTable tabId="3" name="Average GPA by Career Interest"/>
    <pivotTable tabId="3" name="Average GPA by SQL"/>
    <pivotTable tabId="3" name="Average GPA by Java"/>
    <pivotTable tabId="3" name="Average GPA by Interested Domain"/>
    <pivotTable tabId="3" name="Average GPA by Age"/>
    <pivotTable tabId="3" name="Student Gender Composition"/>
  </pivotTables>
  <data>
    <tabular pivotCacheId="11436295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QL" xr10:uid="{9F9BE1CF-8350-4C08-ADF7-81C36D75D27C}" sourceName="SQL">
  <pivotTables>
    <pivotTable tabId="3" name="Average GPA by Python"/>
    <pivotTable tabId="3" name="Average GPA by Career Interest"/>
    <pivotTable tabId="3" name="Average GPA by SQL"/>
    <pivotTable tabId="3" name="Average GPA by Java"/>
    <pivotTable tabId="3" name="Average GPA by Interested Domain"/>
    <pivotTable tabId="3" name="Average GPA by Age"/>
    <pivotTable tabId="3" name="Student Gender Composition"/>
  </pivotTables>
  <data>
    <tabular pivotCacheId="11436295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B3E705B-524B-4949-AF0C-18472D16976C}" sourceName="Age">
  <pivotTables>
    <pivotTable tabId="3" name="Average GPA by Python"/>
    <pivotTable tabId="3" name="Average GPA by Career Interest"/>
    <pivotTable tabId="3" name="Average GPA by SQL"/>
    <pivotTable tabId="3" name="Average GPA by Java"/>
    <pivotTable tabId="3" name="Average GPA by Interested Domain"/>
    <pivotTable tabId="3" name="Average GPA by Age"/>
    <pivotTable tabId="3" name="Student Gender Composition"/>
  </pivotTables>
  <data>
    <tabular pivotCacheId="114362957">
      <items count="9">
        <i x="1" s="1"/>
        <i x="0" s="1"/>
        <i x="2" s="1"/>
        <i x="3" s="1"/>
        <i x="7" s="1"/>
        <i x="8" s="1"/>
        <i x="5" s="1"/>
        <i x="4"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va" xr10:uid="{9CAA6DE1-8A92-423D-BC5F-983946589E22}" sourceName="Java">
  <pivotTables>
    <pivotTable tabId="3" name="Average GPA by Python"/>
    <pivotTable tabId="3" name="Average GPA by Career Interest"/>
    <pivotTable tabId="3" name="Average GPA by SQL"/>
    <pivotTable tabId="3" name="Average GPA by Java"/>
    <pivotTable tabId="3" name="Average GPA by Interested Domain"/>
    <pivotTable tabId="3" name="Average GPA by Age"/>
    <pivotTable tabId="3" name="Student Gender Composition"/>
  </pivotTables>
  <data>
    <tabular pivotCacheId="114362957">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2654D0-AB10-490A-8CCD-F7907E947439}" sourceName="Gender">
  <pivotTables>
    <pivotTable tabId="3" name="Average GPA by Python"/>
    <pivotTable tabId="3" name="Average GPA by Career Interest"/>
    <pivotTable tabId="3" name="Average GPA by SQL"/>
    <pivotTable tabId="3" name="Average GPA by Java"/>
    <pivotTable tabId="3" name="Average GPA by Interested Domain"/>
    <pivotTable tabId="3" name="Average GPA by Age"/>
    <pivotTable tabId="3" name="Student Gender Composition"/>
  </pivotTables>
  <data>
    <tabular pivotCacheId="114362957">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va1" xr10:uid="{659111F3-3A7F-459C-BB51-73449107FD20}" sourceName="Java">
  <pivotTables>
    <pivotTable tabId="8" name="PivotTable12"/>
    <pivotTable tabId="8" name="PivotTable13"/>
    <pivotTable tabId="8" name="PivotTable14"/>
    <pivotTable tabId="8" name="PivotTable15"/>
    <pivotTable tabId="8" name="PivotTable16"/>
    <pivotTable tabId="8" name="PivotTable17"/>
    <pivotTable tabId="8" name="PivotTable21"/>
  </pivotTables>
  <data>
    <tabular pivotCacheId="9345851">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QL1" xr10:uid="{CBD22137-BCF7-4FE0-8405-4A2A4F47FC4B}" sourceName="SQL">
  <pivotTables>
    <pivotTable tabId="8" name="PivotTable12"/>
    <pivotTable tabId="8" name="PivotTable13"/>
    <pivotTable tabId="8" name="PivotTable14"/>
    <pivotTable tabId="8" name="PivotTable15"/>
    <pivotTable tabId="8" name="PivotTable16"/>
    <pivotTable tabId="8" name="PivotTable17"/>
    <pivotTable tabId="8" name="PivotTable21"/>
  </pivotTables>
  <data>
    <tabular pivotCacheId="9345851">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57314E1A-52BE-4B5F-BAE8-AACFAE8C9A6F}" sourceName="Grade">
  <pivotTables>
    <pivotTable tabId="8" name="PivotTable12"/>
    <pivotTable tabId="8" name="PivotTable13"/>
    <pivotTable tabId="8" name="PivotTable14"/>
    <pivotTable tabId="8" name="PivotTable15"/>
    <pivotTable tabId="8" name="PivotTable16"/>
    <pivotTable tabId="8" name="PivotTable17"/>
    <pivotTable tabId="8" name="PivotTable21"/>
  </pivotTables>
  <data>
    <tabular pivotCacheId="9345851">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ython1" xr10:uid="{0741F9EA-A845-4566-A376-D4279B26F426}" sourceName="Python">
  <pivotTables>
    <pivotTable tabId="8" name="PivotTable12"/>
    <pivotTable tabId="8" name="PivotTable13"/>
    <pivotTable tabId="8" name="PivotTable14"/>
    <pivotTable tabId="8" name="PivotTable15"/>
    <pivotTable tabId="8" name="PivotTable16"/>
    <pivotTable tabId="8" name="PivotTable17"/>
    <pivotTable tabId="8" name="PivotTable21"/>
  </pivotTables>
  <data>
    <tabular pivotCacheId="9345851">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9023C82-8F34-433C-AF10-FAAF43C4F531}" sourceName="Gender">
  <pivotTables>
    <pivotTable tabId="8" name="PivotTable12"/>
    <pivotTable tabId="8" name="PivotTable13"/>
    <pivotTable tabId="8" name="PivotTable14"/>
    <pivotTable tabId="8" name="PivotTable15"/>
    <pivotTable tabId="8" name="PivotTable16"/>
    <pivotTable tabId="8" name="PivotTable17"/>
    <pivotTable tabId="8" name="PivotTable21"/>
  </pivotTables>
  <data>
    <tabular pivotCacheId="93458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ava 2" xr10:uid="{6D2FCF77-86AF-492D-9375-B0F9DEBCABC0}" cache="Slicer_Java1" caption="Java" style="SlicerStyleOther1" rowHeight="241300"/>
  <slicer name="SQL 2" xr10:uid="{4859E6A5-9D41-4723-8283-BCBFC74A56A8}" cache="Slicer_SQL1" caption="SQL" style="SlicerStyleOther1" rowHeight="241300"/>
  <slicer name="Grade" xr10:uid="{56A134B6-C157-418B-9292-59A5020DE696}" cache="Slicer_Grade" caption="Grade" style="SlicerStyleOther1" rowHeight="241300"/>
  <slicer name="Python 2" xr10:uid="{6021387C-5576-433E-BE58-C74833F4B44F}" cache="Slicer_Python1" caption="Python" style="SlicerStyleOther1" rowHeight="241300"/>
  <slicer name="Gender 2" xr10:uid="{49AD2F8A-4428-4099-A44F-60673EF524C3}" cache="Slicer_Gender1" caption="Gender"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ython" xr10:uid="{62437431-0656-4EE9-8B03-2B9CECFE3AE9}" cache="Slicer_Python" caption="Python" style="SlicerStyleOther1" rowHeight="241300"/>
  <slicer name="SQL" xr10:uid="{BBC1EF3C-2B7E-4148-BE30-2B3F95B0FCCE}" cache="Slicer_SQL" caption="SQL" style="SlicerStyleOther1" rowHeight="241300"/>
  <slicer name="Age" xr10:uid="{C9F4001F-20B8-46D9-BDA5-9D1C79EABE2C}" cache="Slicer_Age" caption="Age" columnCount="2" style="SlicerStyleOther1" rowHeight="241300"/>
  <slicer name="Java" xr10:uid="{D4BEE796-7E0D-4049-8557-D03F805A95B9}" cache="Slicer_Java" caption="Java" style="SlicerStyleOther1" rowHeight="241300"/>
  <slicer name="Gender" xr10:uid="{A0EDD9A5-B488-4820-8893-DFD5BE96B1FB}" cache="Slicer_Gender" caption="Gender"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6F6A-07E0-4C11-BF5A-9CADB204BA88}">
  <dimension ref="A1:L181"/>
  <sheetViews>
    <sheetView zoomScale="81" workbookViewId="0">
      <selection activeCell="O8" sqref="O8"/>
    </sheetView>
  </sheetViews>
  <sheetFormatPr defaultRowHeight="14.5" x14ac:dyDescent="0.35"/>
  <cols>
    <col min="1" max="1" width="9.54296875" bestFit="1" customWidth="1"/>
    <col min="2" max="2" width="18.08984375" bestFit="1" customWidth="1"/>
    <col min="3" max="3" width="7" bestFit="1" customWidth="1"/>
    <col min="4" max="4" width="3.90625" bestFit="1" customWidth="1"/>
    <col min="5" max="5" width="4.26953125" bestFit="1" customWidth="1"/>
    <col min="6" max="6" width="15.81640625" bestFit="1" customWidth="1"/>
    <col min="7" max="7" width="28.26953125" bestFit="1" customWidth="1"/>
    <col min="8" max="8" width="29.6328125" bestFit="1" customWidth="1"/>
    <col min="9" max="9" width="28.36328125" bestFit="1" customWidth="1"/>
    <col min="10" max="12" width="7.54296875" bestFit="1" customWidth="1"/>
  </cols>
  <sheetData>
    <row r="1" spans="1:12" x14ac:dyDescent="0.35">
      <c r="A1" t="s">
        <v>243</v>
      </c>
      <c r="B1" t="s">
        <v>0</v>
      </c>
      <c r="C1" t="s">
        <v>1</v>
      </c>
      <c r="D1" t="s">
        <v>2</v>
      </c>
      <c r="E1" t="s">
        <v>3</v>
      </c>
      <c r="F1" t="s">
        <v>4</v>
      </c>
      <c r="G1" t="s">
        <v>5</v>
      </c>
      <c r="H1" t="s">
        <v>6</v>
      </c>
      <c r="I1" t="s">
        <v>7</v>
      </c>
      <c r="J1" t="s">
        <v>8</v>
      </c>
      <c r="K1" t="s">
        <v>9</v>
      </c>
      <c r="L1" t="s">
        <v>10</v>
      </c>
    </row>
    <row r="2" spans="1:12" x14ac:dyDescent="0.35">
      <c r="A2">
        <v>1</v>
      </c>
      <c r="B2" t="s">
        <v>11</v>
      </c>
      <c r="C2" t="s">
        <v>12</v>
      </c>
      <c r="D2">
        <v>21</v>
      </c>
      <c r="E2">
        <v>3.5</v>
      </c>
      <c r="F2" t="s">
        <v>13</v>
      </c>
      <c r="G2" t="s">
        <v>14</v>
      </c>
      <c r="H2" t="s">
        <v>15</v>
      </c>
      <c r="I2" t="s">
        <v>16</v>
      </c>
      <c r="J2" t="s">
        <v>17</v>
      </c>
      <c r="K2" t="s">
        <v>17</v>
      </c>
      <c r="L2" t="s">
        <v>18</v>
      </c>
    </row>
    <row r="3" spans="1:12" x14ac:dyDescent="0.35">
      <c r="A3">
        <v>2</v>
      </c>
      <c r="B3" t="s">
        <v>19</v>
      </c>
      <c r="C3" t="s">
        <v>20</v>
      </c>
      <c r="D3">
        <v>20</v>
      </c>
      <c r="E3">
        <v>3.2</v>
      </c>
      <c r="F3" t="s">
        <v>13</v>
      </c>
      <c r="G3" t="s">
        <v>21</v>
      </c>
      <c r="H3" t="s">
        <v>22</v>
      </c>
      <c r="I3" t="s">
        <v>23</v>
      </c>
      <c r="J3" t="s">
        <v>24</v>
      </c>
      <c r="K3" t="s">
        <v>17</v>
      </c>
      <c r="L3" t="s">
        <v>18</v>
      </c>
    </row>
    <row r="4" spans="1:12" x14ac:dyDescent="0.35">
      <c r="A4">
        <v>3</v>
      </c>
      <c r="B4" t="s">
        <v>25</v>
      </c>
      <c r="C4" t="s">
        <v>12</v>
      </c>
      <c r="D4">
        <v>22</v>
      </c>
      <c r="E4">
        <v>3.8</v>
      </c>
      <c r="F4" t="s">
        <v>13</v>
      </c>
      <c r="G4" t="s">
        <v>26</v>
      </c>
      <c r="H4" t="s">
        <v>27</v>
      </c>
      <c r="I4" t="s">
        <v>28</v>
      </c>
      <c r="J4" t="s">
        <v>17</v>
      </c>
      <c r="K4" t="s">
        <v>17</v>
      </c>
      <c r="L4" t="s">
        <v>24</v>
      </c>
    </row>
    <row r="5" spans="1:12" x14ac:dyDescent="0.35">
      <c r="A5">
        <v>4</v>
      </c>
      <c r="B5" t="s">
        <v>29</v>
      </c>
      <c r="C5" t="s">
        <v>20</v>
      </c>
      <c r="D5">
        <v>21</v>
      </c>
      <c r="E5">
        <v>3.7</v>
      </c>
      <c r="F5" t="s">
        <v>13</v>
      </c>
      <c r="G5" t="s">
        <v>30</v>
      </c>
      <c r="H5" t="s">
        <v>31</v>
      </c>
      <c r="I5" t="s">
        <v>32</v>
      </c>
      <c r="J5" t="s">
        <v>18</v>
      </c>
      <c r="K5" t="s">
        <v>17</v>
      </c>
      <c r="L5" t="s">
        <v>17</v>
      </c>
    </row>
    <row r="6" spans="1:12" x14ac:dyDescent="0.35">
      <c r="A6">
        <v>5</v>
      </c>
      <c r="B6" t="s">
        <v>33</v>
      </c>
      <c r="C6" t="s">
        <v>12</v>
      </c>
      <c r="D6">
        <v>23</v>
      </c>
      <c r="E6">
        <v>3.4</v>
      </c>
      <c r="F6" t="s">
        <v>13</v>
      </c>
      <c r="G6" t="s">
        <v>34</v>
      </c>
      <c r="H6" t="s">
        <v>35</v>
      </c>
      <c r="I6" t="s">
        <v>36</v>
      </c>
      <c r="J6" t="s">
        <v>24</v>
      </c>
      <c r="K6" t="s">
        <v>18</v>
      </c>
      <c r="L6" t="s">
        <v>17</v>
      </c>
    </row>
    <row r="7" spans="1:12" x14ac:dyDescent="0.35">
      <c r="A7">
        <v>6</v>
      </c>
      <c r="B7" t="s">
        <v>37</v>
      </c>
      <c r="C7" t="s">
        <v>20</v>
      </c>
      <c r="D7">
        <v>22</v>
      </c>
      <c r="E7">
        <v>3.9</v>
      </c>
      <c r="F7" t="s">
        <v>13</v>
      </c>
      <c r="G7" t="s">
        <v>38</v>
      </c>
      <c r="H7" t="s">
        <v>39</v>
      </c>
      <c r="I7" t="s">
        <v>40</v>
      </c>
      <c r="J7" t="s">
        <v>17</v>
      </c>
      <c r="K7" t="s">
        <v>24</v>
      </c>
      <c r="L7" t="s">
        <v>18</v>
      </c>
    </row>
    <row r="8" spans="1:12" x14ac:dyDescent="0.35">
      <c r="A8">
        <v>7</v>
      </c>
      <c r="B8" t="s">
        <v>41</v>
      </c>
      <c r="C8" t="s">
        <v>12</v>
      </c>
      <c r="D8">
        <v>20</v>
      </c>
      <c r="E8">
        <v>3.6</v>
      </c>
      <c r="F8" t="s">
        <v>13</v>
      </c>
      <c r="G8" t="s">
        <v>42</v>
      </c>
      <c r="H8" t="s">
        <v>43</v>
      </c>
      <c r="I8" t="s">
        <v>44</v>
      </c>
      <c r="J8" t="s">
        <v>24</v>
      </c>
      <c r="K8" t="s">
        <v>17</v>
      </c>
      <c r="L8" t="s">
        <v>18</v>
      </c>
    </row>
    <row r="9" spans="1:12" x14ac:dyDescent="0.35">
      <c r="A9">
        <v>8</v>
      </c>
      <c r="B9" t="s">
        <v>45</v>
      </c>
      <c r="C9" t="s">
        <v>20</v>
      </c>
      <c r="D9">
        <v>21</v>
      </c>
      <c r="E9">
        <v>3.7</v>
      </c>
      <c r="F9" t="s">
        <v>13</v>
      </c>
      <c r="G9" t="s">
        <v>46</v>
      </c>
      <c r="H9" t="s">
        <v>47</v>
      </c>
      <c r="I9" t="s">
        <v>48</v>
      </c>
      <c r="J9" t="s">
        <v>18</v>
      </c>
      <c r="K9" t="s">
        <v>17</v>
      </c>
      <c r="L9" t="s">
        <v>24</v>
      </c>
    </row>
    <row r="10" spans="1:12" x14ac:dyDescent="0.35">
      <c r="A10">
        <v>9</v>
      </c>
      <c r="B10" t="s">
        <v>49</v>
      </c>
      <c r="C10" t="s">
        <v>12</v>
      </c>
      <c r="D10">
        <v>23</v>
      </c>
      <c r="E10">
        <v>3.3</v>
      </c>
      <c r="F10" t="s">
        <v>13</v>
      </c>
      <c r="G10" t="s">
        <v>50</v>
      </c>
      <c r="H10" t="s">
        <v>51</v>
      </c>
      <c r="I10" t="s">
        <v>52</v>
      </c>
      <c r="J10" t="s">
        <v>24</v>
      </c>
      <c r="K10" t="s">
        <v>18</v>
      </c>
      <c r="L10" t="s">
        <v>17</v>
      </c>
    </row>
    <row r="11" spans="1:12" x14ac:dyDescent="0.35">
      <c r="A11">
        <v>10</v>
      </c>
      <c r="B11" t="s">
        <v>53</v>
      </c>
      <c r="C11" t="s">
        <v>20</v>
      </c>
      <c r="D11">
        <v>22</v>
      </c>
      <c r="E11">
        <v>3.5</v>
      </c>
      <c r="F11" t="s">
        <v>13</v>
      </c>
      <c r="G11" t="s">
        <v>54</v>
      </c>
      <c r="H11" t="s">
        <v>55</v>
      </c>
      <c r="I11" t="s">
        <v>56</v>
      </c>
      <c r="J11" t="s">
        <v>18</v>
      </c>
      <c r="K11" t="s">
        <v>24</v>
      </c>
      <c r="L11" t="s">
        <v>17</v>
      </c>
    </row>
    <row r="12" spans="1:12" x14ac:dyDescent="0.35">
      <c r="A12">
        <v>11</v>
      </c>
      <c r="B12" t="s">
        <v>57</v>
      </c>
      <c r="C12" t="s">
        <v>12</v>
      </c>
      <c r="D12">
        <v>21</v>
      </c>
      <c r="E12">
        <v>3.8</v>
      </c>
      <c r="F12" t="s">
        <v>13</v>
      </c>
      <c r="G12" t="s">
        <v>14</v>
      </c>
      <c r="H12" t="s">
        <v>58</v>
      </c>
      <c r="I12" t="s">
        <v>59</v>
      </c>
      <c r="J12" t="s">
        <v>17</v>
      </c>
      <c r="K12" t="s">
        <v>24</v>
      </c>
      <c r="L12" t="s">
        <v>18</v>
      </c>
    </row>
    <row r="13" spans="1:12" x14ac:dyDescent="0.35">
      <c r="A13">
        <v>12</v>
      </c>
      <c r="B13" t="s">
        <v>60</v>
      </c>
      <c r="C13" t="s">
        <v>12</v>
      </c>
      <c r="D13">
        <v>22</v>
      </c>
      <c r="E13">
        <v>3.7</v>
      </c>
      <c r="F13" t="s">
        <v>13</v>
      </c>
      <c r="G13" t="s">
        <v>30</v>
      </c>
      <c r="H13" t="s">
        <v>31</v>
      </c>
      <c r="I13" t="s">
        <v>32</v>
      </c>
      <c r="J13" t="s">
        <v>17</v>
      </c>
      <c r="K13" t="s">
        <v>17</v>
      </c>
      <c r="L13" t="s">
        <v>24</v>
      </c>
    </row>
    <row r="14" spans="1:12" x14ac:dyDescent="0.35">
      <c r="A14">
        <v>13</v>
      </c>
      <c r="B14" t="s">
        <v>61</v>
      </c>
      <c r="C14" t="s">
        <v>20</v>
      </c>
      <c r="D14">
        <v>21</v>
      </c>
      <c r="E14">
        <v>3.3</v>
      </c>
      <c r="F14" t="s">
        <v>13</v>
      </c>
      <c r="G14" t="s">
        <v>50</v>
      </c>
      <c r="H14" t="s">
        <v>62</v>
      </c>
      <c r="I14" t="s">
        <v>52</v>
      </c>
      <c r="J14" t="s">
        <v>24</v>
      </c>
      <c r="K14" t="s">
        <v>18</v>
      </c>
      <c r="L14" t="s">
        <v>17</v>
      </c>
    </row>
    <row r="15" spans="1:12" x14ac:dyDescent="0.35">
      <c r="A15">
        <v>14</v>
      </c>
      <c r="B15" t="s">
        <v>63</v>
      </c>
      <c r="C15" t="s">
        <v>12</v>
      </c>
      <c r="D15">
        <v>23</v>
      </c>
      <c r="E15">
        <v>3.5</v>
      </c>
      <c r="F15" t="s">
        <v>13</v>
      </c>
      <c r="G15" t="s">
        <v>54</v>
      </c>
      <c r="H15" t="s">
        <v>64</v>
      </c>
      <c r="I15" t="s">
        <v>65</v>
      </c>
      <c r="J15" t="s">
        <v>18</v>
      </c>
      <c r="K15" t="s">
        <v>24</v>
      </c>
      <c r="L15" t="s">
        <v>17</v>
      </c>
    </row>
    <row r="16" spans="1:12" x14ac:dyDescent="0.35">
      <c r="A16">
        <v>15</v>
      </c>
      <c r="B16" t="s">
        <v>66</v>
      </c>
      <c r="C16" t="s">
        <v>20</v>
      </c>
      <c r="D16">
        <v>22</v>
      </c>
      <c r="E16">
        <v>3.8</v>
      </c>
      <c r="F16" t="s">
        <v>13</v>
      </c>
      <c r="G16" t="s">
        <v>67</v>
      </c>
      <c r="H16" t="s">
        <v>27</v>
      </c>
      <c r="I16" t="s">
        <v>28</v>
      </c>
      <c r="J16" t="s">
        <v>17</v>
      </c>
      <c r="K16" t="s">
        <v>17</v>
      </c>
      <c r="L16" t="s">
        <v>24</v>
      </c>
    </row>
    <row r="17" spans="1:12" x14ac:dyDescent="0.35">
      <c r="A17">
        <v>16</v>
      </c>
      <c r="B17" t="s">
        <v>68</v>
      </c>
      <c r="C17" t="s">
        <v>12</v>
      </c>
      <c r="D17">
        <v>20</v>
      </c>
      <c r="E17">
        <v>3.6</v>
      </c>
      <c r="F17" t="s">
        <v>13</v>
      </c>
      <c r="G17" t="s">
        <v>34</v>
      </c>
      <c r="H17" t="s">
        <v>35</v>
      </c>
      <c r="I17" t="s">
        <v>36</v>
      </c>
      <c r="J17" t="s">
        <v>24</v>
      </c>
      <c r="K17" t="s">
        <v>18</v>
      </c>
      <c r="L17" t="s">
        <v>17</v>
      </c>
    </row>
    <row r="18" spans="1:12" x14ac:dyDescent="0.35">
      <c r="A18">
        <v>17</v>
      </c>
      <c r="B18" t="s">
        <v>37</v>
      </c>
      <c r="C18" t="s">
        <v>20</v>
      </c>
      <c r="D18">
        <v>21</v>
      </c>
      <c r="E18">
        <v>3.9</v>
      </c>
      <c r="F18" t="s">
        <v>13</v>
      </c>
      <c r="G18" t="s">
        <v>38</v>
      </c>
      <c r="H18" t="s">
        <v>39</v>
      </c>
      <c r="I18" t="s">
        <v>40</v>
      </c>
      <c r="J18" t="s">
        <v>17</v>
      </c>
      <c r="K18" t="s">
        <v>24</v>
      </c>
      <c r="L18" t="s">
        <v>18</v>
      </c>
    </row>
    <row r="19" spans="1:12" x14ac:dyDescent="0.35">
      <c r="A19">
        <v>18</v>
      </c>
      <c r="B19" t="s">
        <v>41</v>
      </c>
      <c r="C19" t="s">
        <v>12</v>
      </c>
      <c r="D19">
        <v>23</v>
      </c>
      <c r="E19">
        <v>3.6</v>
      </c>
      <c r="F19" t="s">
        <v>13</v>
      </c>
      <c r="G19" t="s">
        <v>42</v>
      </c>
      <c r="H19" t="s">
        <v>43</v>
      </c>
      <c r="I19" t="s">
        <v>44</v>
      </c>
      <c r="J19" t="s">
        <v>24</v>
      </c>
      <c r="K19" t="s">
        <v>17</v>
      </c>
      <c r="L19" t="s">
        <v>18</v>
      </c>
    </row>
    <row r="20" spans="1:12" x14ac:dyDescent="0.35">
      <c r="A20">
        <v>19</v>
      </c>
      <c r="B20" t="s">
        <v>45</v>
      </c>
      <c r="C20" t="s">
        <v>20</v>
      </c>
      <c r="D20">
        <v>22</v>
      </c>
      <c r="E20">
        <v>3.7</v>
      </c>
      <c r="F20" t="s">
        <v>13</v>
      </c>
      <c r="G20" t="s">
        <v>46</v>
      </c>
      <c r="H20" t="s">
        <v>47</v>
      </c>
      <c r="I20" t="s">
        <v>48</v>
      </c>
      <c r="J20" t="s">
        <v>18</v>
      </c>
      <c r="K20" t="s">
        <v>17</v>
      </c>
      <c r="L20" t="s">
        <v>24</v>
      </c>
    </row>
    <row r="21" spans="1:12" x14ac:dyDescent="0.35">
      <c r="A21">
        <v>20</v>
      </c>
      <c r="B21" t="s">
        <v>49</v>
      </c>
      <c r="C21" t="s">
        <v>12</v>
      </c>
      <c r="D21">
        <v>20</v>
      </c>
      <c r="E21">
        <v>3.3</v>
      </c>
      <c r="F21" t="s">
        <v>13</v>
      </c>
      <c r="G21" t="s">
        <v>50</v>
      </c>
      <c r="H21" t="s">
        <v>51</v>
      </c>
      <c r="I21" t="s">
        <v>52</v>
      </c>
      <c r="J21" t="s">
        <v>24</v>
      </c>
      <c r="K21" t="s">
        <v>18</v>
      </c>
      <c r="L21" t="s">
        <v>17</v>
      </c>
    </row>
    <row r="22" spans="1:12" x14ac:dyDescent="0.35">
      <c r="A22">
        <v>21</v>
      </c>
      <c r="B22" t="s">
        <v>53</v>
      </c>
      <c r="C22" t="s">
        <v>20</v>
      </c>
      <c r="D22">
        <v>21</v>
      </c>
      <c r="E22">
        <v>3.5</v>
      </c>
      <c r="F22" t="s">
        <v>13</v>
      </c>
      <c r="G22" t="s">
        <v>54</v>
      </c>
      <c r="H22" t="s">
        <v>55</v>
      </c>
      <c r="I22" t="s">
        <v>56</v>
      </c>
      <c r="J22" t="s">
        <v>18</v>
      </c>
      <c r="K22" t="s">
        <v>24</v>
      </c>
      <c r="L22" t="s">
        <v>17</v>
      </c>
    </row>
    <row r="23" spans="1:12" x14ac:dyDescent="0.35">
      <c r="A23">
        <v>22</v>
      </c>
      <c r="B23" t="s">
        <v>57</v>
      </c>
      <c r="C23" t="s">
        <v>12</v>
      </c>
      <c r="D23">
        <v>23</v>
      </c>
      <c r="E23">
        <v>3.8</v>
      </c>
      <c r="F23" t="s">
        <v>13</v>
      </c>
      <c r="G23" t="s">
        <v>14</v>
      </c>
      <c r="H23" t="s">
        <v>58</v>
      </c>
      <c r="I23" t="s">
        <v>59</v>
      </c>
      <c r="J23" t="s">
        <v>17</v>
      </c>
      <c r="K23" t="s">
        <v>24</v>
      </c>
      <c r="L23" t="s">
        <v>18</v>
      </c>
    </row>
    <row r="24" spans="1:12" x14ac:dyDescent="0.35">
      <c r="A24">
        <v>23</v>
      </c>
      <c r="B24" t="s">
        <v>60</v>
      </c>
      <c r="C24" t="s">
        <v>12</v>
      </c>
      <c r="D24">
        <v>22</v>
      </c>
      <c r="E24">
        <v>3.7</v>
      </c>
      <c r="F24" t="s">
        <v>13</v>
      </c>
      <c r="G24" t="s">
        <v>30</v>
      </c>
      <c r="H24" t="s">
        <v>31</v>
      </c>
      <c r="I24" t="s">
        <v>32</v>
      </c>
      <c r="J24" t="s">
        <v>17</v>
      </c>
      <c r="K24" t="s">
        <v>17</v>
      </c>
      <c r="L24" t="s">
        <v>24</v>
      </c>
    </row>
    <row r="25" spans="1:12" x14ac:dyDescent="0.35">
      <c r="A25">
        <v>24</v>
      </c>
      <c r="B25" t="s">
        <v>61</v>
      </c>
      <c r="C25" t="s">
        <v>20</v>
      </c>
      <c r="D25">
        <v>21</v>
      </c>
      <c r="E25">
        <v>3.3</v>
      </c>
      <c r="F25" t="s">
        <v>13</v>
      </c>
      <c r="G25" t="s">
        <v>50</v>
      </c>
      <c r="H25" t="s">
        <v>62</v>
      </c>
      <c r="I25" t="s">
        <v>52</v>
      </c>
      <c r="J25" t="s">
        <v>24</v>
      </c>
      <c r="K25" t="s">
        <v>18</v>
      </c>
      <c r="L25" t="s">
        <v>17</v>
      </c>
    </row>
    <row r="26" spans="1:12" x14ac:dyDescent="0.35">
      <c r="A26">
        <v>25</v>
      </c>
      <c r="B26" t="s">
        <v>63</v>
      </c>
      <c r="C26" t="s">
        <v>12</v>
      </c>
      <c r="D26">
        <v>23</v>
      </c>
      <c r="E26">
        <v>3.5</v>
      </c>
      <c r="F26" t="s">
        <v>13</v>
      </c>
      <c r="G26" t="s">
        <v>54</v>
      </c>
      <c r="H26" t="s">
        <v>64</v>
      </c>
      <c r="I26" t="s">
        <v>65</v>
      </c>
      <c r="J26" t="s">
        <v>18</v>
      </c>
      <c r="K26" t="s">
        <v>24</v>
      </c>
      <c r="L26" t="s">
        <v>17</v>
      </c>
    </row>
    <row r="27" spans="1:12" x14ac:dyDescent="0.35">
      <c r="A27">
        <v>26</v>
      </c>
      <c r="B27" t="s">
        <v>66</v>
      </c>
      <c r="C27" t="s">
        <v>20</v>
      </c>
      <c r="D27">
        <v>22</v>
      </c>
      <c r="E27">
        <v>3.8</v>
      </c>
      <c r="F27" t="s">
        <v>13</v>
      </c>
      <c r="G27" t="s">
        <v>67</v>
      </c>
      <c r="H27" t="s">
        <v>27</v>
      </c>
      <c r="I27" t="s">
        <v>28</v>
      </c>
      <c r="J27" t="s">
        <v>17</v>
      </c>
      <c r="K27" t="s">
        <v>17</v>
      </c>
      <c r="L27" t="s">
        <v>24</v>
      </c>
    </row>
    <row r="28" spans="1:12" x14ac:dyDescent="0.35">
      <c r="A28">
        <v>27</v>
      </c>
      <c r="B28" t="s">
        <v>68</v>
      </c>
      <c r="C28" t="s">
        <v>12</v>
      </c>
      <c r="D28">
        <v>20</v>
      </c>
      <c r="E28">
        <v>3.6</v>
      </c>
      <c r="F28" t="s">
        <v>13</v>
      </c>
      <c r="G28" t="s">
        <v>34</v>
      </c>
      <c r="H28" t="s">
        <v>35</v>
      </c>
      <c r="I28" t="s">
        <v>36</v>
      </c>
      <c r="J28" t="s">
        <v>24</v>
      </c>
      <c r="K28" t="s">
        <v>18</v>
      </c>
      <c r="L28" t="s">
        <v>17</v>
      </c>
    </row>
    <row r="29" spans="1:12" x14ac:dyDescent="0.35">
      <c r="A29">
        <v>28</v>
      </c>
      <c r="B29" t="s">
        <v>37</v>
      </c>
      <c r="C29" t="s">
        <v>20</v>
      </c>
      <c r="D29">
        <v>21</v>
      </c>
      <c r="E29">
        <v>3.9</v>
      </c>
      <c r="F29" t="s">
        <v>13</v>
      </c>
      <c r="G29" t="s">
        <v>38</v>
      </c>
      <c r="H29" t="s">
        <v>39</v>
      </c>
      <c r="I29" t="s">
        <v>40</v>
      </c>
      <c r="J29" t="s">
        <v>17</v>
      </c>
      <c r="K29" t="s">
        <v>24</v>
      </c>
      <c r="L29" t="s">
        <v>18</v>
      </c>
    </row>
    <row r="30" spans="1:12" x14ac:dyDescent="0.35">
      <c r="A30">
        <v>29</v>
      </c>
      <c r="B30" t="s">
        <v>41</v>
      </c>
      <c r="C30" t="s">
        <v>12</v>
      </c>
      <c r="D30">
        <v>23</v>
      </c>
      <c r="E30">
        <v>3.6</v>
      </c>
      <c r="F30" t="s">
        <v>13</v>
      </c>
      <c r="G30" t="s">
        <v>42</v>
      </c>
      <c r="H30" t="s">
        <v>43</v>
      </c>
      <c r="I30" t="s">
        <v>44</v>
      </c>
      <c r="J30" t="s">
        <v>24</v>
      </c>
      <c r="K30" t="s">
        <v>17</v>
      </c>
      <c r="L30" t="s">
        <v>18</v>
      </c>
    </row>
    <row r="31" spans="1:12" x14ac:dyDescent="0.35">
      <c r="A31">
        <v>30</v>
      </c>
      <c r="B31" t="s">
        <v>45</v>
      </c>
      <c r="C31" t="s">
        <v>20</v>
      </c>
      <c r="D31">
        <v>22</v>
      </c>
      <c r="E31">
        <v>3.7</v>
      </c>
      <c r="F31" t="s">
        <v>13</v>
      </c>
      <c r="G31" t="s">
        <v>46</v>
      </c>
      <c r="H31" t="s">
        <v>47</v>
      </c>
      <c r="I31" t="s">
        <v>48</v>
      </c>
      <c r="J31" t="s">
        <v>18</v>
      </c>
      <c r="K31" t="s">
        <v>17</v>
      </c>
      <c r="L31" t="s">
        <v>24</v>
      </c>
    </row>
    <row r="32" spans="1:12" x14ac:dyDescent="0.35">
      <c r="A32">
        <v>31</v>
      </c>
      <c r="B32" t="s">
        <v>49</v>
      </c>
      <c r="C32" t="s">
        <v>12</v>
      </c>
      <c r="D32">
        <v>20</v>
      </c>
      <c r="E32">
        <v>3.3</v>
      </c>
      <c r="F32" t="s">
        <v>13</v>
      </c>
      <c r="G32" t="s">
        <v>50</v>
      </c>
      <c r="H32" t="s">
        <v>51</v>
      </c>
      <c r="I32" t="s">
        <v>52</v>
      </c>
      <c r="J32" t="s">
        <v>24</v>
      </c>
      <c r="K32" t="s">
        <v>18</v>
      </c>
      <c r="L32" t="s">
        <v>17</v>
      </c>
    </row>
    <row r="33" spans="1:12" x14ac:dyDescent="0.35">
      <c r="A33">
        <v>32</v>
      </c>
      <c r="B33" t="s">
        <v>53</v>
      </c>
      <c r="C33" t="s">
        <v>20</v>
      </c>
      <c r="D33">
        <v>21</v>
      </c>
      <c r="E33">
        <v>3.5</v>
      </c>
      <c r="F33" t="s">
        <v>13</v>
      </c>
      <c r="G33" t="s">
        <v>54</v>
      </c>
      <c r="H33" t="s">
        <v>55</v>
      </c>
      <c r="I33" t="s">
        <v>56</v>
      </c>
      <c r="J33" t="s">
        <v>18</v>
      </c>
      <c r="K33" t="s">
        <v>24</v>
      </c>
      <c r="L33" t="s">
        <v>17</v>
      </c>
    </row>
    <row r="34" spans="1:12" x14ac:dyDescent="0.35">
      <c r="A34">
        <v>33</v>
      </c>
      <c r="B34" t="s">
        <v>57</v>
      </c>
      <c r="C34" t="s">
        <v>12</v>
      </c>
      <c r="D34">
        <v>23</v>
      </c>
      <c r="E34">
        <v>3.8</v>
      </c>
      <c r="F34" t="s">
        <v>13</v>
      </c>
      <c r="G34" t="s">
        <v>14</v>
      </c>
      <c r="H34" t="s">
        <v>58</v>
      </c>
      <c r="I34" t="s">
        <v>59</v>
      </c>
      <c r="J34" t="s">
        <v>17</v>
      </c>
      <c r="K34" t="s">
        <v>24</v>
      </c>
      <c r="L34" t="s">
        <v>18</v>
      </c>
    </row>
    <row r="35" spans="1:12" x14ac:dyDescent="0.35">
      <c r="A35">
        <v>34</v>
      </c>
      <c r="B35" t="s">
        <v>60</v>
      </c>
      <c r="C35" t="s">
        <v>12</v>
      </c>
      <c r="D35">
        <v>22</v>
      </c>
      <c r="E35">
        <v>3.7</v>
      </c>
      <c r="F35" t="s">
        <v>13</v>
      </c>
      <c r="G35" t="s">
        <v>30</v>
      </c>
      <c r="H35" t="s">
        <v>31</v>
      </c>
      <c r="I35" t="s">
        <v>32</v>
      </c>
      <c r="J35" t="s">
        <v>17</v>
      </c>
      <c r="K35" t="s">
        <v>17</v>
      </c>
      <c r="L35" t="s">
        <v>24</v>
      </c>
    </row>
    <row r="36" spans="1:12" x14ac:dyDescent="0.35">
      <c r="A36">
        <v>35</v>
      </c>
      <c r="B36" t="s">
        <v>61</v>
      </c>
      <c r="C36" t="s">
        <v>20</v>
      </c>
      <c r="D36">
        <v>21</v>
      </c>
      <c r="E36">
        <v>3.3</v>
      </c>
      <c r="F36" t="s">
        <v>13</v>
      </c>
      <c r="G36" t="s">
        <v>50</v>
      </c>
      <c r="H36" t="s">
        <v>62</v>
      </c>
      <c r="I36" t="s">
        <v>52</v>
      </c>
      <c r="J36" t="s">
        <v>24</v>
      </c>
      <c r="K36" t="s">
        <v>18</v>
      </c>
      <c r="L36" t="s">
        <v>17</v>
      </c>
    </row>
    <row r="37" spans="1:12" x14ac:dyDescent="0.35">
      <c r="A37">
        <v>36</v>
      </c>
      <c r="B37" t="s">
        <v>63</v>
      </c>
      <c r="C37" t="s">
        <v>12</v>
      </c>
      <c r="D37">
        <v>23</v>
      </c>
      <c r="E37">
        <v>3.5</v>
      </c>
      <c r="F37" t="s">
        <v>13</v>
      </c>
      <c r="G37" t="s">
        <v>54</v>
      </c>
      <c r="H37" t="s">
        <v>64</v>
      </c>
      <c r="I37" t="s">
        <v>65</v>
      </c>
      <c r="J37" t="s">
        <v>18</v>
      </c>
      <c r="K37" t="s">
        <v>24</v>
      </c>
      <c r="L37" t="s">
        <v>17</v>
      </c>
    </row>
    <row r="38" spans="1:12" x14ac:dyDescent="0.35">
      <c r="A38">
        <v>37</v>
      </c>
      <c r="B38" t="s">
        <v>66</v>
      </c>
      <c r="C38" t="s">
        <v>20</v>
      </c>
      <c r="D38">
        <v>22</v>
      </c>
      <c r="E38">
        <v>3.8</v>
      </c>
      <c r="F38" t="s">
        <v>13</v>
      </c>
      <c r="G38" t="s">
        <v>67</v>
      </c>
      <c r="H38" t="s">
        <v>27</v>
      </c>
      <c r="I38" t="s">
        <v>28</v>
      </c>
      <c r="J38" t="s">
        <v>17</v>
      </c>
      <c r="K38" t="s">
        <v>17</v>
      </c>
      <c r="L38" t="s">
        <v>24</v>
      </c>
    </row>
    <row r="39" spans="1:12" x14ac:dyDescent="0.35">
      <c r="A39">
        <v>38</v>
      </c>
      <c r="B39" t="s">
        <v>68</v>
      </c>
      <c r="C39" t="s">
        <v>12</v>
      </c>
      <c r="D39">
        <v>20</v>
      </c>
      <c r="E39">
        <v>3.6</v>
      </c>
      <c r="F39" t="s">
        <v>13</v>
      </c>
      <c r="G39" t="s">
        <v>34</v>
      </c>
      <c r="H39" t="s">
        <v>35</v>
      </c>
      <c r="I39" t="s">
        <v>36</v>
      </c>
      <c r="J39" t="s">
        <v>24</v>
      </c>
      <c r="K39" t="s">
        <v>18</v>
      </c>
      <c r="L39" t="s">
        <v>17</v>
      </c>
    </row>
    <row r="40" spans="1:12" x14ac:dyDescent="0.35">
      <c r="A40">
        <v>39</v>
      </c>
      <c r="B40" t="s">
        <v>37</v>
      </c>
      <c r="C40" t="s">
        <v>20</v>
      </c>
      <c r="D40">
        <v>21</v>
      </c>
      <c r="E40">
        <v>3.9</v>
      </c>
      <c r="F40" t="s">
        <v>13</v>
      </c>
      <c r="G40" t="s">
        <v>38</v>
      </c>
      <c r="H40" t="s">
        <v>39</v>
      </c>
      <c r="I40" t="s">
        <v>40</v>
      </c>
      <c r="J40" t="s">
        <v>17</v>
      </c>
      <c r="K40" t="s">
        <v>24</v>
      </c>
      <c r="L40" t="s">
        <v>18</v>
      </c>
    </row>
    <row r="41" spans="1:12" x14ac:dyDescent="0.35">
      <c r="A41">
        <v>40</v>
      </c>
      <c r="B41" t="s">
        <v>69</v>
      </c>
      <c r="C41" t="s">
        <v>20</v>
      </c>
      <c r="D41">
        <v>22</v>
      </c>
      <c r="E41">
        <v>3.6</v>
      </c>
      <c r="F41" t="s">
        <v>13</v>
      </c>
      <c r="G41" t="s">
        <v>46</v>
      </c>
      <c r="H41" t="s">
        <v>70</v>
      </c>
      <c r="I41" t="s">
        <v>48</v>
      </c>
      <c r="J41" t="s">
        <v>17</v>
      </c>
      <c r="K41" t="s">
        <v>17</v>
      </c>
      <c r="L41" t="s">
        <v>24</v>
      </c>
    </row>
    <row r="42" spans="1:12" x14ac:dyDescent="0.35">
      <c r="A42">
        <v>41</v>
      </c>
      <c r="B42" t="s">
        <v>71</v>
      </c>
      <c r="C42" t="s">
        <v>12</v>
      </c>
      <c r="D42">
        <v>20</v>
      </c>
      <c r="E42">
        <v>3.3</v>
      </c>
      <c r="F42" t="s">
        <v>13</v>
      </c>
      <c r="G42" t="s">
        <v>26</v>
      </c>
      <c r="H42" t="s">
        <v>72</v>
      </c>
      <c r="I42" t="s">
        <v>28</v>
      </c>
      <c r="J42" t="s">
        <v>24</v>
      </c>
      <c r="K42" t="s">
        <v>18</v>
      </c>
      <c r="L42" t="s">
        <v>17</v>
      </c>
    </row>
    <row r="43" spans="1:12" x14ac:dyDescent="0.35">
      <c r="A43">
        <v>42</v>
      </c>
      <c r="B43" t="s">
        <v>73</v>
      </c>
      <c r="C43" t="s">
        <v>20</v>
      </c>
      <c r="D43">
        <v>21</v>
      </c>
      <c r="E43">
        <v>3.7</v>
      </c>
      <c r="F43" t="s">
        <v>13</v>
      </c>
      <c r="G43" t="s">
        <v>30</v>
      </c>
      <c r="H43" t="s">
        <v>27</v>
      </c>
      <c r="I43" t="s">
        <v>32</v>
      </c>
      <c r="J43" t="s">
        <v>18</v>
      </c>
      <c r="K43" t="s">
        <v>17</v>
      </c>
      <c r="L43" t="s">
        <v>17</v>
      </c>
    </row>
    <row r="44" spans="1:12" x14ac:dyDescent="0.35">
      <c r="A44">
        <v>43</v>
      </c>
      <c r="B44" t="s">
        <v>74</v>
      </c>
      <c r="C44" t="s">
        <v>12</v>
      </c>
      <c r="D44">
        <v>23</v>
      </c>
      <c r="E44">
        <v>3.5</v>
      </c>
      <c r="F44" t="s">
        <v>13</v>
      </c>
      <c r="G44" t="s">
        <v>50</v>
      </c>
      <c r="H44" t="s">
        <v>75</v>
      </c>
      <c r="I44" t="s">
        <v>52</v>
      </c>
      <c r="J44" t="s">
        <v>24</v>
      </c>
      <c r="K44" t="s">
        <v>18</v>
      </c>
      <c r="L44" t="s">
        <v>17</v>
      </c>
    </row>
    <row r="45" spans="1:12" x14ac:dyDescent="0.35">
      <c r="A45">
        <v>44</v>
      </c>
      <c r="B45" t="s">
        <v>76</v>
      </c>
      <c r="C45" t="s">
        <v>20</v>
      </c>
      <c r="D45">
        <v>22</v>
      </c>
      <c r="E45">
        <v>3.8</v>
      </c>
      <c r="F45" t="s">
        <v>13</v>
      </c>
      <c r="G45" t="s">
        <v>54</v>
      </c>
      <c r="H45" t="s">
        <v>77</v>
      </c>
      <c r="I45" t="s">
        <v>56</v>
      </c>
      <c r="J45" t="s">
        <v>18</v>
      </c>
      <c r="K45" t="s">
        <v>24</v>
      </c>
      <c r="L45" t="s">
        <v>17</v>
      </c>
    </row>
    <row r="46" spans="1:12" x14ac:dyDescent="0.35">
      <c r="A46">
        <v>45</v>
      </c>
      <c r="B46" t="s">
        <v>78</v>
      </c>
      <c r="C46" t="s">
        <v>12</v>
      </c>
      <c r="D46">
        <v>21</v>
      </c>
      <c r="E46">
        <v>3.6</v>
      </c>
      <c r="F46" t="s">
        <v>13</v>
      </c>
      <c r="G46" t="s">
        <v>14</v>
      </c>
      <c r="H46" t="s">
        <v>58</v>
      </c>
      <c r="I46" t="s">
        <v>59</v>
      </c>
      <c r="J46" t="s">
        <v>17</v>
      </c>
      <c r="K46" t="s">
        <v>24</v>
      </c>
      <c r="L46" t="s">
        <v>18</v>
      </c>
    </row>
    <row r="47" spans="1:12" x14ac:dyDescent="0.35">
      <c r="A47">
        <v>46</v>
      </c>
      <c r="B47" t="s">
        <v>79</v>
      </c>
      <c r="C47" t="s">
        <v>20</v>
      </c>
      <c r="D47">
        <v>20</v>
      </c>
      <c r="E47">
        <v>3.3</v>
      </c>
      <c r="F47" t="s">
        <v>13</v>
      </c>
      <c r="G47" t="s">
        <v>21</v>
      </c>
      <c r="H47" t="s">
        <v>38</v>
      </c>
      <c r="I47" t="s">
        <v>23</v>
      </c>
      <c r="J47" t="s">
        <v>24</v>
      </c>
      <c r="K47" t="s">
        <v>17</v>
      </c>
      <c r="L47" t="s">
        <v>18</v>
      </c>
    </row>
    <row r="48" spans="1:12" x14ac:dyDescent="0.35">
      <c r="A48">
        <v>47</v>
      </c>
      <c r="B48" t="s">
        <v>80</v>
      </c>
      <c r="C48" t="s">
        <v>12</v>
      </c>
      <c r="D48">
        <v>22</v>
      </c>
      <c r="E48">
        <v>3.7</v>
      </c>
      <c r="F48" t="s">
        <v>13</v>
      </c>
      <c r="G48" t="s">
        <v>34</v>
      </c>
      <c r="H48" t="s">
        <v>35</v>
      </c>
      <c r="I48" t="s">
        <v>36</v>
      </c>
      <c r="J48" t="s">
        <v>18</v>
      </c>
      <c r="K48" t="s">
        <v>17</v>
      </c>
      <c r="L48" t="s">
        <v>24</v>
      </c>
    </row>
    <row r="49" spans="1:12" x14ac:dyDescent="0.35">
      <c r="A49">
        <v>48</v>
      </c>
      <c r="B49" t="s">
        <v>81</v>
      </c>
      <c r="C49" t="s">
        <v>20</v>
      </c>
      <c r="D49">
        <v>21</v>
      </c>
      <c r="E49">
        <v>3.5</v>
      </c>
      <c r="F49" t="s">
        <v>13</v>
      </c>
      <c r="G49" t="s">
        <v>42</v>
      </c>
      <c r="H49" t="s">
        <v>43</v>
      </c>
      <c r="I49" t="s">
        <v>44</v>
      </c>
      <c r="J49" t="s">
        <v>24</v>
      </c>
      <c r="K49" t="s">
        <v>18</v>
      </c>
      <c r="L49" t="s">
        <v>17</v>
      </c>
    </row>
    <row r="50" spans="1:12" x14ac:dyDescent="0.35">
      <c r="A50">
        <v>49</v>
      </c>
      <c r="B50" t="s">
        <v>82</v>
      </c>
      <c r="C50" t="s">
        <v>12</v>
      </c>
      <c r="D50">
        <v>23</v>
      </c>
      <c r="E50">
        <v>3.8</v>
      </c>
      <c r="F50" t="s">
        <v>13</v>
      </c>
      <c r="G50" t="s">
        <v>46</v>
      </c>
      <c r="H50" t="s">
        <v>47</v>
      </c>
      <c r="I50" t="s">
        <v>48</v>
      </c>
      <c r="J50" t="s">
        <v>17</v>
      </c>
      <c r="K50" t="s">
        <v>17</v>
      </c>
      <c r="L50" t="s">
        <v>24</v>
      </c>
    </row>
    <row r="51" spans="1:12" x14ac:dyDescent="0.35">
      <c r="A51">
        <v>50</v>
      </c>
      <c r="B51" t="s">
        <v>83</v>
      </c>
      <c r="C51" t="s">
        <v>12</v>
      </c>
      <c r="D51">
        <v>22</v>
      </c>
      <c r="E51">
        <v>3.6</v>
      </c>
      <c r="F51" t="s">
        <v>13</v>
      </c>
      <c r="G51" t="s">
        <v>26</v>
      </c>
      <c r="H51" t="s">
        <v>72</v>
      </c>
      <c r="I51" t="s">
        <v>28</v>
      </c>
      <c r="J51" t="s">
        <v>24</v>
      </c>
      <c r="K51" t="s">
        <v>18</v>
      </c>
      <c r="L51" t="s">
        <v>17</v>
      </c>
    </row>
    <row r="52" spans="1:12" x14ac:dyDescent="0.35">
      <c r="A52">
        <v>51</v>
      </c>
      <c r="B52" t="s">
        <v>84</v>
      </c>
      <c r="C52" t="s">
        <v>20</v>
      </c>
      <c r="D52">
        <v>21</v>
      </c>
      <c r="E52">
        <v>3.7</v>
      </c>
      <c r="F52" t="s">
        <v>13</v>
      </c>
      <c r="G52" t="s">
        <v>30</v>
      </c>
      <c r="H52" t="s">
        <v>27</v>
      </c>
      <c r="I52" t="s">
        <v>32</v>
      </c>
      <c r="J52" t="s">
        <v>18</v>
      </c>
      <c r="K52" t="s">
        <v>17</v>
      </c>
      <c r="L52" t="s">
        <v>17</v>
      </c>
    </row>
    <row r="53" spans="1:12" x14ac:dyDescent="0.35">
      <c r="A53">
        <v>52</v>
      </c>
      <c r="B53" t="s">
        <v>85</v>
      </c>
      <c r="C53" t="s">
        <v>12</v>
      </c>
      <c r="D53">
        <v>20</v>
      </c>
      <c r="E53">
        <v>3.3</v>
      </c>
      <c r="F53" t="s">
        <v>13</v>
      </c>
      <c r="G53" t="s">
        <v>50</v>
      </c>
      <c r="H53" t="s">
        <v>86</v>
      </c>
      <c r="I53" t="s">
        <v>52</v>
      </c>
      <c r="J53" t="s">
        <v>24</v>
      </c>
      <c r="K53" t="s">
        <v>18</v>
      </c>
      <c r="L53" t="s">
        <v>17</v>
      </c>
    </row>
    <row r="54" spans="1:12" x14ac:dyDescent="0.35">
      <c r="A54">
        <v>53</v>
      </c>
      <c r="B54" t="s">
        <v>87</v>
      </c>
      <c r="C54" t="s">
        <v>20</v>
      </c>
      <c r="D54">
        <v>22</v>
      </c>
      <c r="E54">
        <v>3.8</v>
      </c>
      <c r="F54" t="s">
        <v>13</v>
      </c>
      <c r="G54" t="s">
        <v>54</v>
      </c>
      <c r="H54" t="s">
        <v>88</v>
      </c>
      <c r="I54" t="s">
        <v>56</v>
      </c>
      <c r="J54" t="s">
        <v>18</v>
      </c>
      <c r="K54" t="s">
        <v>24</v>
      </c>
      <c r="L54" t="s">
        <v>17</v>
      </c>
    </row>
    <row r="55" spans="1:12" x14ac:dyDescent="0.35">
      <c r="A55">
        <v>54</v>
      </c>
      <c r="B55" t="s">
        <v>89</v>
      </c>
      <c r="C55" t="s">
        <v>20</v>
      </c>
      <c r="D55">
        <v>21</v>
      </c>
      <c r="E55">
        <v>3.6</v>
      </c>
      <c r="F55" t="s">
        <v>13</v>
      </c>
      <c r="G55" t="s">
        <v>14</v>
      </c>
      <c r="H55" t="s">
        <v>58</v>
      </c>
      <c r="I55" t="s">
        <v>59</v>
      </c>
      <c r="J55" t="s">
        <v>17</v>
      </c>
      <c r="K55" t="s">
        <v>24</v>
      </c>
      <c r="L55" t="s">
        <v>18</v>
      </c>
    </row>
    <row r="56" spans="1:12" x14ac:dyDescent="0.35">
      <c r="A56">
        <v>55</v>
      </c>
      <c r="B56" t="s">
        <v>90</v>
      </c>
      <c r="C56" t="s">
        <v>12</v>
      </c>
      <c r="D56">
        <v>20</v>
      </c>
      <c r="E56">
        <v>3.3</v>
      </c>
      <c r="F56" t="s">
        <v>13</v>
      </c>
      <c r="G56" t="s">
        <v>21</v>
      </c>
      <c r="H56" t="s">
        <v>38</v>
      </c>
      <c r="I56" t="s">
        <v>23</v>
      </c>
      <c r="J56" t="s">
        <v>24</v>
      </c>
      <c r="K56" t="s">
        <v>17</v>
      </c>
      <c r="L56" t="s">
        <v>18</v>
      </c>
    </row>
    <row r="57" spans="1:12" x14ac:dyDescent="0.35">
      <c r="A57">
        <v>56</v>
      </c>
      <c r="B57" t="s">
        <v>91</v>
      </c>
      <c r="C57" t="s">
        <v>12</v>
      </c>
      <c r="D57">
        <v>22</v>
      </c>
      <c r="E57">
        <v>3.7</v>
      </c>
      <c r="F57" t="s">
        <v>13</v>
      </c>
      <c r="G57" t="s">
        <v>34</v>
      </c>
      <c r="H57" t="s">
        <v>35</v>
      </c>
      <c r="I57" t="s">
        <v>36</v>
      </c>
      <c r="J57" t="s">
        <v>18</v>
      </c>
      <c r="K57" t="s">
        <v>17</v>
      </c>
      <c r="L57" t="s">
        <v>24</v>
      </c>
    </row>
    <row r="58" spans="1:12" x14ac:dyDescent="0.35">
      <c r="A58">
        <v>57</v>
      </c>
      <c r="B58" t="s">
        <v>92</v>
      </c>
      <c r="C58" t="s">
        <v>12</v>
      </c>
      <c r="D58">
        <v>21</v>
      </c>
      <c r="E58">
        <v>3.5</v>
      </c>
      <c r="F58" t="s">
        <v>13</v>
      </c>
      <c r="G58" t="s">
        <v>42</v>
      </c>
      <c r="H58" t="s">
        <v>43</v>
      </c>
      <c r="I58" t="s">
        <v>44</v>
      </c>
      <c r="J58" t="s">
        <v>24</v>
      </c>
      <c r="K58" t="s">
        <v>18</v>
      </c>
      <c r="L58" t="s">
        <v>17</v>
      </c>
    </row>
    <row r="59" spans="1:12" x14ac:dyDescent="0.35">
      <c r="A59">
        <v>58</v>
      </c>
      <c r="B59" t="s">
        <v>93</v>
      </c>
      <c r="C59" t="s">
        <v>12</v>
      </c>
      <c r="D59">
        <v>23</v>
      </c>
      <c r="E59">
        <v>3.8</v>
      </c>
      <c r="F59" t="s">
        <v>13</v>
      </c>
      <c r="G59" t="s">
        <v>46</v>
      </c>
      <c r="H59" t="s">
        <v>47</v>
      </c>
      <c r="I59" t="s">
        <v>48</v>
      </c>
      <c r="J59" t="s">
        <v>17</v>
      </c>
      <c r="K59" t="s">
        <v>17</v>
      </c>
      <c r="L59" t="s">
        <v>24</v>
      </c>
    </row>
    <row r="60" spans="1:12" x14ac:dyDescent="0.35">
      <c r="A60">
        <v>59</v>
      </c>
      <c r="B60" t="s">
        <v>94</v>
      </c>
      <c r="C60" t="s">
        <v>12</v>
      </c>
      <c r="D60">
        <v>22</v>
      </c>
      <c r="E60">
        <v>3.6</v>
      </c>
      <c r="F60" t="s">
        <v>13</v>
      </c>
      <c r="G60" t="s">
        <v>26</v>
      </c>
      <c r="H60" t="s">
        <v>72</v>
      </c>
      <c r="I60" t="s">
        <v>28</v>
      </c>
      <c r="J60" t="s">
        <v>24</v>
      </c>
      <c r="K60" t="s">
        <v>18</v>
      </c>
      <c r="L60" t="s">
        <v>17</v>
      </c>
    </row>
    <row r="61" spans="1:12" x14ac:dyDescent="0.35">
      <c r="A61">
        <v>60</v>
      </c>
      <c r="B61" t="s">
        <v>95</v>
      </c>
      <c r="C61" t="s">
        <v>12</v>
      </c>
      <c r="D61">
        <v>20</v>
      </c>
      <c r="E61">
        <v>3.3</v>
      </c>
      <c r="F61" t="s">
        <v>13</v>
      </c>
      <c r="G61" t="s">
        <v>30</v>
      </c>
      <c r="H61" t="s">
        <v>27</v>
      </c>
      <c r="I61" t="s">
        <v>32</v>
      </c>
      <c r="J61" t="s">
        <v>18</v>
      </c>
      <c r="K61" t="s">
        <v>17</v>
      </c>
      <c r="L61" t="s">
        <v>17</v>
      </c>
    </row>
    <row r="62" spans="1:12" x14ac:dyDescent="0.35">
      <c r="A62">
        <v>61</v>
      </c>
      <c r="B62" t="s">
        <v>96</v>
      </c>
      <c r="C62" t="s">
        <v>12</v>
      </c>
      <c r="D62">
        <v>21</v>
      </c>
      <c r="E62">
        <v>3.7</v>
      </c>
      <c r="F62" t="s">
        <v>13</v>
      </c>
      <c r="G62" t="s">
        <v>50</v>
      </c>
      <c r="H62" t="s">
        <v>86</v>
      </c>
      <c r="I62" t="s">
        <v>52</v>
      </c>
      <c r="J62" t="s">
        <v>24</v>
      </c>
      <c r="K62" t="s">
        <v>18</v>
      </c>
      <c r="L62" t="s">
        <v>17</v>
      </c>
    </row>
    <row r="63" spans="1:12" x14ac:dyDescent="0.35">
      <c r="A63">
        <v>62</v>
      </c>
      <c r="B63" t="s">
        <v>97</v>
      </c>
      <c r="C63" t="s">
        <v>12</v>
      </c>
      <c r="D63">
        <v>22</v>
      </c>
      <c r="E63">
        <v>3.5</v>
      </c>
      <c r="F63" t="s">
        <v>13</v>
      </c>
      <c r="G63" t="s">
        <v>54</v>
      </c>
      <c r="H63" t="s">
        <v>77</v>
      </c>
      <c r="I63" t="s">
        <v>56</v>
      </c>
      <c r="J63" t="s">
        <v>18</v>
      </c>
      <c r="K63" t="s">
        <v>24</v>
      </c>
      <c r="L63" t="s">
        <v>17</v>
      </c>
    </row>
    <row r="64" spans="1:12" x14ac:dyDescent="0.35">
      <c r="A64">
        <v>63</v>
      </c>
      <c r="B64" t="s">
        <v>98</v>
      </c>
      <c r="C64" t="s">
        <v>12</v>
      </c>
      <c r="D64">
        <v>23</v>
      </c>
      <c r="E64">
        <v>3.8</v>
      </c>
      <c r="F64" t="s">
        <v>13</v>
      </c>
      <c r="G64" t="s">
        <v>14</v>
      </c>
      <c r="H64" t="s">
        <v>58</v>
      </c>
      <c r="I64" t="s">
        <v>59</v>
      </c>
      <c r="J64" t="s">
        <v>17</v>
      </c>
      <c r="K64" t="s">
        <v>24</v>
      </c>
      <c r="L64" t="s">
        <v>18</v>
      </c>
    </row>
    <row r="65" spans="1:12" x14ac:dyDescent="0.35">
      <c r="A65">
        <v>64</v>
      </c>
      <c r="B65" t="s">
        <v>99</v>
      </c>
      <c r="C65" t="s">
        <v>12</v>
      </c>
      <c r="D65">
        <v>20</v>
      </c>
      <c r="E65">
        <v>3.3</v>
      </c>
      <c r="F65" t="s">
        <v>13</v>
      </c>
      <c r="G65" t="s">
        <v>21</v>
      </c>
      <c r="H65" t="s">
        <v>38</v>
      </c>
      <c r="I65" t="s">
        <v>23</v>
      </c>
      <c r="J65" t="s">
        <v>24</v>
      </c>
      <c r="K65" t="s">
        <v>17</v>
      </c>
      <c r="L65" t="s">
        <v>18</v>
      </c>
    </row>
    <row r="66" spans="1:12" x14ac:dyDescent="0.35">
      <c r="A66">
        <v>65</v>
      </c>
      <c r="B66" t="s">
        <v>100</v>
      </c>
      <c r="C66" t="s">
        <v>12</v>
      </c>
      <c r="D66">
        <v>22</v>
      </c>
      <c r="E66">
        <v>3.7</v>
      </c>
      <c r="F66" t="s">
        <v>13</v>
      </c>
      <c r="G66" t="s">
        <v>34</v>
      </c>
      <c r="H66" t="s">
        <v>35</v>
      </c>
      <c r="I66" t="s">
        <v>36</v>
      </c>
      <c r="J66" t="s">
        <v>18</v>
      </c>
      <c r="K66" t="s">
        <v>17</v>
      </c>
      <c r="L66" t="s">
        <v>24</v>
      </c>
    </row>
    <row r="67" spans="1:12" x14ac:dyDescent="0.35">
      <c r="A67">
        <v>66</v>
      </c>
      <c r="B67" t="s">
        <v>101</v>
      </c>
      <c r="C67" t="s">
        <v>12</v>
      </c>
      <c r="D67">
        <v>21</v>
      </c>
      <c r="E67">
        <v>3.5</v>
      </c>
      <c r="F67" t="s">
        <v>13</v>
      </c>
      <c r="G67" t="s">
        <v>42</v>
      </c>
      <c r="H67" t="s">
        <v>43</v>
      </c>
      <c r="I67" t="s">
        <v>44</v>
      </c>
      <c r="J67" t="s">
        <v>24</v>
      </c>
      <c r="K67" t="s">
        <v>18</v>
      </c>
      <c r="L67" t="s">
        <v>17</v>
      </c>
    </row>
    <row r="68" spans="1:12" x14ac:dyDescent="0.35">
      <c r="A68">
        <v>67</v>
      </c>
      <c r="B68" t="s">
        <v>102</v>
      </c>
      <c r="C68" t="s">
        <v>12</v>
      </c>
      <c r="D68">
        <v>23</v>
      </c>
      <c r="E68">
        <v>3.8</v>
      </c>
      <c r="F68" t="s">
        <v>13</v>
      </c>
      <c r="G68" t="s">
        <v>46</v>
      </c>
      <c r="H68" t="s">
        <v>47</v>
      </c>
      <c r="I68" t="s">
        <v>48</v>
      </c>
      <c r="J68" t="s">
        <v>17</v>
      </c>
      <c r="K68" t="s">
        <v>17</v>
      </c>
      <c r="L68" t="s">
        <v>24</v>
      </c>
    </row>
    <row r="69" spans="1:12" x14ac:dyDescent="0.35">
      <c r="A69">
        <v>68</v>
      </c>
      <c r="B69" t="s">
        <v>103</v>
      </c>
      <c r="C69" t="s">
        <v>12</v>
      </c>
      <c r="D69">
        <v>22</v>
      </c>
      <c r="E69">
        <v>3.6</v>
      </c>
      <c r="F69" t="s">
        <v>13</v>
      </c>
      <c r="G69" t="s">
        <v>26</v>
      </c>
      <c r="H69" t="s">
        <v>72</v>
      </c>
      <c r="I69" t="s">
        <v>28</v>
      </c>
      <c r="J69" t="s">
        <v>24</v>
      </c>
      <c r="K69" t="s">
        <v>18</v>
      </c>
      <c r="L69" t="s">
        <v>17</v>
      </c>
    </row>
    <row r="70" spans="1:12" x14ac:dyDescent="0.35">
      <c r="A70">
        <v>69</v>
      </c>
      <c r="B70" t="s">
        <v>92</v>
      </c>
      <c r="C70" t="s">
        <v>12</v>
      </c>
      <c r="D70">
        <v>20</v>
      </c>
      <c r="E70">
        <v>3.3</v>
      </c>
      <c r="F70" t="s">
        <v>13</v>
      </c>
      <c r="G70" t="s">
        <v>30</v>
      </c>
      <c r="H70" t="s">
        <v>27</v>
      </c>
      <c r="I70" t="s">
        <v>32</v>
      </c>
      <c r="J70" t="s">
        <v>18</v>
      </c>
      <c r="K70" t="s">
        <v>17</v>
      </c>
      <c r="L70" t="s">
        <v>17</v>
      </c>
    </row>
    <row r="71" spans="1:12" x14ac:dyDescent="0.35">
      <c r="A71">
        <v>70</v>
      </c>
      <c r="B71" t="s">
        <v>104</v>
      </c>
      <c r="C71" t="s">
        <v>12</v>
      </c>
      <c r="D71">
        <v>21</v>
      </c>
      <c r="E71">
        <v>3.7</v>
      </c>
      <c r="F71" t="s">
        <v>13</v>
      </c>
      <c r="G71" t="s">
        <v>50</v>
      </c>
      <c r="H71" t="s">
        <v>86</v>
      </c>
      <c r="I71" t="s">
        <v>52</v>
      </c>
      <c r="J71" t="s">
        <v>24</v>
      </c>
      <c r="K71" t="s">
        <v>18</v>
      </c>
      <c r="L71" t="s">
        <v>17</v>
      </c>
    </row>
    <row r="72" spans="1:12" x14ac:dyDescent="0.35">
      <c r="A72">
        <v>71</v>
      </c>
      <c r="B72" t="s">
        <v>105</v>
      </c>
      <c r="C72" t="s">
        <v>12</v>
      </c>
      <c r="D72">
        <v>22</v>
      </c>
      <c r="E72">
        <v>3.5</v>
      </c>
      <c r="F72" t="s">
        <v>13</v>
      </c>
      <c r="G72" t="s">
        <v>54</v>
      </c>
      <c r="H72" t="s">
        <v>77</v>
      </c>
      <c r="I72" t="s">
        <v>56</v>
      </c>
      <c r="J72" t="s">
        <v>18</v>
      </c>
      <c r="K72" t="s">
        <v>24</v>
      </c>
      <c r="L72" t="s">
        <v>17</v>
      </c>
    </row>
    <row r="73" spans="1:12" x14ac:dyDescent="0.35">
      <c r="A73">
        <v>72</v>
      </c>
      <c r="B73" t="s">
        <v>106</v>
      </c>
      <c r="C73" t="s">
        <v>12</v>
      </c>
      <c r="D73">
        <v>23</v>
      </c>
      <c r="E73">
        <v>3.8</v>
      </c>
      <c r="F73" t="s">
        <v>13</v>
      </c>
      <c r="G73" t="s">
        <v>14</v>
      </c>
      <c r="H73" t="s">
        <v>58</v>
      </c>
      <c r="I73" t="s">
        <v>59</v>
      </c>
      <c r="J73" t="s">
        <v>17</v>
      </c>
      <c r="K73" t="s">
        <v>24</v>
      </c>
      <c r="L73" t="s">
        <v>18</v>
      </c>
    </row>
    <row r="74" spans="1:12" x14ac:dyDescent="0.35">
      <c r="A74">
        <v>73</v>
      </c>
      <c r="B74" t="s">
        <v>107</v>
      </c>
      <c r="C74" t="s">
        <v>12</v>
      </c>
      <c r="D74">
        <v>20</v>
      </c>
      <c r="E74">
        <v>3.3</v>
      </c>
      <c r="F74" t="s">
        <v>13</v>
      </c>
      <c r="G74" t="s">
        <v>21</v>
      </c>
      <c r="H74" t="s">
        <v>38</v>
      </c>
      <c r="I74" t="s">
        <v>23</v>
      </c>
      <c r="J74" t="s">
        <v>24</v>
      </c>
      <c r="K74" t="s">
        <v>17</v>
      </c>
      <c r="L74" t="s">
        <v>18</v>
      </c>
    </row>
    <row r="75" spans="1:12" x14ac:dyDescent="0.35">
      <c r="A75">
        <v>74</v>
      </c>
      <c r="B75" t="s">
        <v>108</v>
      </c>
      <c r="C75" t="s">
        <v>12</v>
      </c>
      <c r="D75">
        <v>22</v>
      </c>
      <c r="E75">
        <v>3.7</v>
      </c>
      <c r="F75" t="s">
        <v>13</v>
      </c>
      <c r="G75" t="s">
        <v>34</v>
      </c>
      <c r="H75" t="s">
        <v>35</v>
      </c>
      <c r="I75" t="s">
        <v>36</v>
      </c>
      <c r="J75" t="s">
        <v>18</v>
      </c>
      <c r="K75" t="s">
        <v>17</v>
      </c>
      <c r="L75" t="s">
        <v>24</v>
      </c>
    </row>
    <row r="76" spans="1:12" x14ac:dyDescent="0.35">
      <c r="A76">
        <v>75</v>
      </c>
      <c r="B76" t="s">
        <v>109</v>
      </c>
      <c r="C76" t="s">
        <v>12</v>
      </c>
      <c r="D76">
        <v>21</v>
      </c>
      <c r="E76">
        <v>3.5</v>
      </c>
      <c r="F76" t="s">
        <v>13</v>
      </c>
      <c r="G76" t="s">
        <v>42</v>
      </c>
      <c r="H76" t="s">
        <v>43</v>
      </c>
      <c r="I76" t="s">
        <v>44</v>
      </c>
      <c r="J76" t="s">
        <v>24</v>
      </c>
      <c r="K76" t="s">
        <v>18</v>
      </c>
      <c r="L76" t="s">
        <v>17</v>
      </c>
    </row>
    <row r="77" spans="1:12" x14ac:dyDescent="0.35">
      <c r="A77">
        <v>76</v>
      </c>
      <c r="B77" t="s">
        <v>108</v>
      </c>
      <c r="C77" t="s">
        <v>20</v>
      </c>
      <c r="D77">
        <v>22</v>
      </c>
      <c r="E77">
        <v>3.7</v>
      </c>
      <c r="F77" t="s">
        <v>13</v>
      </c>
      <c r="G77" t="s">
        <v>34</v>
      </c>
      <c r="H77" t="s">
        <v>35</v>
      </c>
      <c r="I77" t="s">
        <v>36</v>
      </c>
      <c r="J77" t="s">
        <v>18</v>
      </c>
      <c r="K77" t="s">
        <v>17</v>
      </c>
      <c r="L77" t="s">
        <v>24</v>
      </c>
    </row>
    <row r="78" spans="1:12" x14ac:dyDescent="0.35">
      <c r="A78">
        <v>77</v>
      </c>
      <c r="B78" t="s">
        <v>110</v>
      </c>
      <c r="C78" t="s">
        <v>12</v>
      </c>
      <c r="D78">
        <v>35</v>
      </c>
      <c r="E78">
        <v>3.9</v>
      </c>
      <c r="F78" t="s">
        <v>13</v>
      </c>
      <c r="G78" t="s">
        <v>46</v>
      </c>
      <c r="H78" t="s">
        <v>47</v>
      </c>
      <c r="I78" t="s">
        <v>48</v>
      </c>
      <c r="J78" t="s">
        <v>17</v>
      </c>
      <c r="K78" t="s">
        <v>17</v>
      </c>
      <c r="L78" t="s">
        <v>24</v>
      </c>
    </row>
    <row r="79" spans="1:12" x14ac:dyDescent="0.35">
      <c r="A79">
        <v>78</v>
      </c>
      <c r="B79" t="s">
        <v>111</v>
      </c>
      <c r="C79" t="s">
        <v>20</v>
      </c>
      <c r="D79">
        <v>33</v>
      </c>
      <c r="E79">
        <v>3.8</v>
      </c>
      <c r="F79" t="s">
        <v>13</v>
      </c>
      <c r="G79" t="s">
        <v>34</v>
      </c>
      <c r="H79" t="s">
        <v>35</v>
      </c>
      <c r="I79" t="s">
        <v>36</v>
      </c>
      <c r="J79" t="s">
        <v>18</v>
      </c>
      <c r="K79" t="s">
        <v>17</v>
      </c>
      <c r="L79" t="s">
        <v>24</v>
      </c>
    </row>
    <row r="80" spans="1:12" x14ac:dyDescent="0.35">
      <c r="A80">
        <v>79</v>
      </c>
      <c r="B80" t="s">
        <v>112</v>
      </c>
      <c r="C80" t="s">
        <v>20</v>
      </c>
      <c r="D80">
        <v>37</v>
      </c>
      <c r="E80">
        <v>3.7</v>
      </c>
      <c r="F80" t="s">
        <v>13</v>
      </c>
      <c r="G80" t="s">
        <v>42</v>
      </c>
      <c r="H80" t="s">
        <v>43</v>
      </c>
      <c r="I80" t="s">
        <v>44</v>
      </c>
      <c r="J80" t="s">
        <v>24</v>
      </c>
      <c r="K80" t="s">
        <v>18</v>
      </c>
      <c r="L80" t="s">
        <v>17</v>
      </c>
    </row>
    <row r="81" spans="1:12" x14ac:dyDescent="0.35">
      <c r="A81">
        <v>80</v>
      </c>
      <c r="B81" t="s">
        <v>113</v>
      </c>
      <c r="C81" t="s">
        <v>20</v>
      </c>
      <c r="D81">
        <v>29</v>
      </c>
      <c r="E81">
        <v>3.6</v>
      </c>
      <c r="F81" t="s">
        <v>13</v>
      </c>
      <c r="G81" t="s">
        <v>50</v>
      </c>
      <c r="H81" t="s">
        <v>86</v>
      </c>
      <c r="I81" t="s">
        <v>52</v>
      </c>
      <c r="J81" t="s">
        <v>17</v>
      </c>
      <c r="K81" t="s">
        <v>24</v>
      </c>
      <c r="L81" t="s">
        <v>17</v>
      </c>
    </row>
    <row r="82" spans="1:12" x14ac:dyDescent="0.35">
      <c r="A82">
        <v>81</v>
      </c>
      <c r="B82" t="s">
        <v>114</v>
      </c>
      <c r="C82" t="s">
        <v>20</v>
      </c>
      <c r="D82">
        <v>31</v>
      </c>
      <c r="E82">
        <v>3.5</v>
      </c>
      <c r="F82" t="s">
        <v>13</v>
      </c>
      <c r="G82" t="s">
        <v>30</v>
      </c>
      <c r="H82" t="s">
        <v>27</v>
      </c>
      <c r="I82" t="s">
        <v>32</v>
      </c>
      <c r="J82" t="s">
        <v>18</v>
      </c>
      <c r="K82" t="s">
        <v>17</v>
      </c>
      <c r="L82" t="s">
        <v>17</v>
      </c>
    </row>
    <row r="83" spans="1:12" x14ac:dyDescent="0.35">
      <c r="A83">
        <v>82</v>
      </c>
      <c r="B83" t="s">
        <v>115</v>
      </c>
      <c r="C83" t="s">
        <v>12</v>
      </c>
      <c r="D83">
        <v>35</v>
      </c>
      <c r="E83">
        <v>3.9</v>
      </c>
      <c r="F83" t="s">
        <v>13</v>
      </c>
      <c r="G83" t="s">
        <v>26</v>
      </c>
      <c r="H83" t="s">
        <v>72</v>
      </c>
      <c r="I83" t="s">
        <v>28</v>
      </c>
      <c r="J83" t="s">
        <v>24</v>
      </c>
      <c r="K83" t="s">
        <v>18</v>
      </c>
      <c r="L83" t="s">
        <v>17</v>
      </c>
    </row>
    <row r="84" spans="1:12" x14ac:dyDescent="0.35">
      <c r="A84">
        <v>83</v>
      </c>
      <c r="B84" t="s">
        <v>116</v>
      </c>
      <c r="C84" t="s">
        <v>12</v>
      </c>
      <c r="D84">
        <v>37</v>
      </c>
      <c r="E84">
        <v>3.8</v>
      </c>
      <c r="F84" t="s">
        <v>13</v>
      </c>
      <c r="G84" t="s">
        <v>54</v>
      </c>
      <c r="H84" t="s">
        <v>77</v>
      </c>
      <c r="I84" t="s">
        <v>56</v>
      </c>
      <c r="J84" t="s">
        <v>18</v>
      </c>
      <c r="K84" t="s">
        <v>24</v>
      </c>
      <c r="L84" t="s">
        <v>17</v>
      </c>
    </row>
    <row r="85" spans="1:12" x14ac:dyDescent="0.35">
      <c r="A85">
        <v>84</v>
      </c>
      <c r="B85" t="s">
        <v>117</v>
      </c>
      <c r="C85" t="s">
        <v>20</v>
      </c>
      <c r="D85">
        <v>29</v>
      </c>
      <c r="E85">
        <v>3.7</v>
      </c>
      <c r="F85" t="s">
        <v>13</v>
      </c>
      <c r="G85" t="s">
        <v>14</v>
      </c>
      <c r="H85" t="s">
        <v>58</v>
      </c>
      <c r="I85" t="s">
        <v>59</v>
      </c>
      <c r="J85" t="s">
        <v>17</v>
      </c>
      <c r="K85" t="s">
        <v>24</v>
      </c>
      <c r="L85" t="s">
        <v>18</v>
      </c>
    </row>
    <row r="86" spans="1:12" x14ac:dyDescent="0.35">
      <c r="A86">
        <v>85</v>
      </c>
      <c r="B86" t="s">
        <v>118</v>
      </c>
      <c r="C86" t="s">
        <v>12</v>
      </c>
      <c r="D86">
        <v>33</v>
      </c>
      <c r="E86">
        <v>3.6</v>
      </c>
      <c r="F86" t="s">
        <v>13</v>
      </c>
      <c r="G86" t="s">
        <v>21</v>
      </c>
      <c r="H86" t="s">
        <v>38</v>
      </c>
      <c r="I86" t="s">
        <v>23</v>
      </c>
      <c r="J86" t="s">
        <v>24</v>
      </c>
      <c r="K86" t="s">
        <v>17</v>
      </c>
      <c r="L86" t="s">
        <v>18</v>
      </c>
    </row>
    <row r="87" spans="1:12" x14ac:dyDescent="0.35">
      <c r="A87">
        <v>86</v>
      </c>
      <c r="B87" t="s">
        <v>119</v>
      </c>
      <c r="C87" t="s">
        <v>12</v>
      </c>
      <c r="D87">
        <v>22</v>
      </c>
      <c r="E87">
        <v>3.7</v>
      </c>
      <c r="F87" t="s">
        <v>13</v>
      </c>
      <c r="G87" t="s">
        <v>35</v>
      </c>
      <c r="H87" t="s">
        <v>120</v>
      </c>
      <c r="I87" t="s">
        <v>121</v>
      </c>
      <c r="J87" t="s">
        <v>17</v>
      </c>
      <c r="K87" t="s">
        <v>24</v>
      </c>
      <c r="L87" t="s">
        <v>18</v>
      </c>
    </row>
    <row r="88" spans="1:12" x14ac:dyDescent="0.35">
      <c r="A88">
        <v>87</v>
      </c>
      <c r="B88" t="s">
        <v>122</v>
      </c>
      <c r="C88" t="s">
        <v>20</v>
      </c>
      <c r="D88">
        <v>21</v>
      </c>
      <c r="E88">
        <v>3.6</v>
      </c>
      <c r="F88" t="s">
        <v>13</v>
      </c>
      <c r="G88" t="s">
        <v>38</v>
      </c>
      <c r="H88" t="s">
        <v>123</v>
      </c>
      <c r="I88" t="s">
        <v>40</v>
      </c>
      <c r="J88" t="s">
        <v>17</v>
      </c>
      <c r="K88" t="s">
        <v>24</v>
      </c>
      <c r="L88" t="s">
        <v>18</v>
      </c>
    </row>
    <row r="89" spans="1:12" x14ac:dyDescent="0.35">
      <c r="A89">
        <v>88</v>
      </c>
      <c r="B89" t="s">
        <v>124</v>
      </c>
      <c r="C89" t="s">
        <v>12</v>
      </c>
      <c r="D89">
        <v>23</v>
      </c>
      <c r="E89">
        <v>3.8</v>
      </c>
      <c r="F89" t="s">
        <v>13</v>
      </c>
      <c r="G89" t="s">
        <v>42</v>
      </c>
      <c r="H89" t="s">
        <v>125</v>
      </c>
      <c r="I89" t="s">
        <v>44</v>
      </c>
      <c r="J89" t="s">
        <v>24</v>
      </c>
      <c r="K89" t="s">
        <v>17</v>
      </c>
      <c r="L89" t="s">
        <v>18</v>
      </c>
    </row>
    <row r="90" spans="1:12" x14ac:dyDescent="0.35">
      <c r="A90">
        <v>89</v>
      </c>
      <c r="B90" t="s">
        <v>126</v>
      </c>
      <c r="C90" t="s">
        <v>20</v>
      </c>
      <c r="D90">
        <v>22</v>
      </c>
      <c r="E90">
        <v>3.5</v>
      </c>
      <c r="F90" t="s">
        <v>13</v>
      </c>
      <c r="G90" t="s">
        <v>26</v>
      </c>
      <c r="H90" t="s">
        <v>127</v>
      </c>
      <c r="I90" t="s">
        <v>128</v>
      </c>
      <c r="J90" t="s">
        <v>18</v>
      </c>
      <c r="K90" t="s">
        <v>17</v>
      </c>
      <c r="L90" t="s">
        <v>24</v>
      </c>
    </row>
    <row r="91" spans="1:12" x14ac:dyDescent="0.35">
      <c r="A91">
        <v>90</v>
      </c>
      <c r="B91" t="s">
        <v>33</v>
      </c>
      <c r="C91" t="s">
        <v>12</v>
      </c>
      <c r="D91">
        <v>21</v>
      </c>
      <c r="E91">
        <v>3.9</v>
      </c>
      <c r="F91" t="s">
        <v>13</v>
      </c>
      <c r="G91" t="s">
        <v>30</v>
      </c>
      <c r="H91" t="s">
        <v>129</v>
      </c>
      <c r="I91" t="s">
        <v>32</v>
      </c>
      <c r="J91" t="s">
        <v>17</v>
      </c>
      <c r="K91" t="s">
        <v>24</v>
      </c>
      <c r="L91" t="s">
        <v>18</v>
      </c>
    </row>
    <row r="92" spans="1:12" x14ac:dyDescent="0.35">
      <c r="A92">
        <v>91</v>
      </c>
      <c r="B92" t="s">
        <v>130</v>
      </c>
      <c r="C92" t="s">
        <v>20</v>
      </c>
      <c r="D92">
        <v>20</v>
      </c>
      <c r="E92">
        <v>3.7</v>
      </c>
      <c r="F92" t="s">
        <v>13</v>
      </c>
      <c r="G92" t="s">
        <v>21</v>
      </c>
      <c r="H92" t="s">
        <v>131</v>
      </c>
      <c r="I92" t="s">
        <v>132</v>
      </c>
      <c r="J92" t="s">
        <v>17</v>
      </c>
      <c r="K92" t="s">
        <v>24</v>
      </c>
      <c r="L92" t="s">
        <v>18</v>
      </c>
    </row>
    <row r="93" spans="1:12" x14ac:dyDescent="0.35">
      <c r="A93">
        <v>92</v>
      </c>
      <c r="B93" t="s">
        <v>133</v>
      </c>
      <c r="C93" t="s">
        <v>12</v>
      </c>
      <c r="D93">
        <v>22</v>
      </c>
      <c r="E93">
        <v>3.4</v>
      </c>
      <c r="F93" t="s">
        <v>13</v>
      </c>
      <c r="G93" t="s">
        <v>14</v>
      </c>
      <c r="H93" t="s">
        <v>134</v>
      </c>
      <c r="I93" t="s">
        <v>135</v>
      </c>
      <c r="J93" t="s">
        <v>17</v>
      </c>
      <c r="K93" t="s">
        <v>17</v>
      </c>
      <c r="L93" t="s">
        <v>18</v>
      </c>
    </row>
    <row r="94" spans="1:12" x14ac:dyDescent="0.35">
      <c r="A94">
        <v>93</v>
      </c>
      <c r="B94" t="s">
        <v>136</v>
      </c>
      <c r="C94" t="s">
        <v>20</v>
      </c>
      <c r="D94">
        <v>21</v>
      </c>
      <c r="E94">
        <v>3.5</v>
      </c>
      <c r="F94" t="s">
        <v>13</v>
      </c>
      <c r="G94" t="s">
        <v>64</v>
      </c>
      <c r="H94" t="s">
        <v>137</v>
      </c>
      <c r="I94" t="s">
        <v>65</v>
      </c>
      <c r="J94" t="s">
        <v>18</v>
      </c>
      <c r="K94" t="s">
        <v>17</v>
      </c>
      <c r="L94" t="s">
        <v>24</v>
      </c>
    </row>
    <row r="95" spans="1:12" x14ac:dyDescent="0.35">
      <c r="A95">
        <v>94</v>
      </c>
      <c r="B95" t="s">
        <v>11</v>
      </c>
      <c r="C95" t="s">
        <v>12</v>
      </c>
      <c r="D95">
        <v>23</v>
      </c>
      <c r="E95">
        <v>3.6</v>
      </c>
      <c r="F95" t="s">
        <v>13</v>
      </c>
      <c r="G95" t="s">
        <v>34</v>
      </c>
      <c r="H95" t="s">
        <v>138</v>
      </c>
      <c r="I95" t="s">
        <v>139</v>
      </c>
      <c r="J95" t="s">
        <v>17</v>
      </c>
      <c r="K95" t="s">
        <v>17</v>
      </c>
      <c r="L95" t="s">
        <v>24</v>
      </c>
    </row>
    <row r="96" spans="1:12" x14ac:dyDescent="0.35">
      <c r="A96">
        <v>95</v>
      </c>
      <c r="B96" t="s">
        <v>19</v>
      </c>
      <c r="C96" t="s">
        <v>20</v>
      </c>
      <c r="D96">
        <v>20</v>
      </c>
      <c r="E96">
        <v>3.2</v>
      </c>
      <c r="F96" t="s">
        <v>13</v>
      </c>
      <c r="G96" t="s">
        <v>140</v>
      </c>
      <c r="H96" t="s">
        <v>141</v>
      </c>
      <c r="I96" t="s">
        <v>142</v>
      </c>
      <c r="J96" t="s">
        <v>17</v>
      </c>
      <c r="K96" t="s">
        <v>24</v>
      </c>
      <c r="L96" t="s">
        <v>18</v>
      </c>
    </row>
    <row r="97" spans="1:12" x14ac:dyDescent="0.35">
      <c r="A97">
        <v>96</v>
      </c>
      <c r="B97" t="s">
        <v>25</v>
      </c>
      <c r="C97" t="s">
        <v>12</v>
      </c>
      <c r="D97">
        <v>22</v>
      </c>
      <c r="E97">
        <v>3.8</v>
      </c>
      <c r="F97" t="s">
        <v>13</v>
      </c>
      <c r="G97" t="s">
        <v>67</v>
      </c>
      <c r="H97" t="s">
        <v>143</v>
      </c>
      <c r="I97" t="s">
        <v>144</v>
      </c>
      <c r="J97" t="s">
        <v>17</v>
      </c>
      <c r="K97" t="s">
        <v>24</v>
      </c>
      <c r="L97" t="s">
        <v>18</v>
      </c>
    </row>
    <row r="98" spans="1:12" x14ac:dyDescent="0.35">
      <c r="A98">
        <v>97</v>
      </c>
      <c r="B98" t="s">
        <v>29</v>
      </c>
      <c r="C98" t="s">
        <v>20</v>
      </c>
      <c r="D98">
        <v>21</v>
      </c>
      <c r="E98">
        <v>3.7</v>
      </c>
      <c r="F98" t="s">
        <v>13</v>
      </c>
      <c r="G98" t="s">
        <v>145</v>
      </c>
      <c r="H98" t="s">
        <v>146</v>
      </c>
      <c r="I98" t="s">
        <v>147</v>
      </c>
      <c r="J98" t="s">
        <v>18</v>
      </c>
      <c r="K98" t="s">
        <v>17</v>
      </c>
      <c r="L98" t="s">
        <v>17</v>
      </c>
    </row>
    <row r="99" spans="1:12" x14ac:dyDescent="0.35">
      <c r="A99">
        <v>98</v>
      </c>
      <c r="B99" t="s">
        <v>33</v>
      </c>
      <c r="C99" t="s">
        <v>12</v>
      </c>
      <c r="D99">
        <v>23</v>
      </c>
      <c r="E99">
        <v>3.4</v>
      </c>
      <c r="F99" t="s">
        <v>13</v>
      </c>
      <c r="G99" t="s">
        <v>148</v>
      </c>
      <c r="H99" t="s">
        <v>149</v>
      </c>
      <c r="I99" t="s">
        <v>150</v>
      </c>
      <c r="J99" t="s">
        <v>18</v>
      </c>
      <c r="K99" t="s">
        <v>17</v>
      </c>
      <c r="L99" t="s">
        <v>24</v>
      </c>
    </row>
    <row r="100" spans="1:12" x14ac:dyDescent="0.35">
      <c r="A100">
        <v>99</v>
      </c>
      <c r="B100" t="s">
        <v>37</v>
      </c>
      <c r="C100" t="s">
        <v>20</v>
      </c>
      <c r="D100">
        <v>22</v>
      </c>
      <c r="E100">
        <v>3.9</v>
      </c>
      <c r="F100" t="s">
        <v>13</v>
      </c>
      <c r="G100" t="s">
        <v>58</v>
      </c>
      <c r="H100" t="s">
        <v>15</v>
      </c>
      <c r="I100" t="s">
        <v>151</v>
      </c>
      <c r="J100" t="s">
        <v>17</v>
      </c>
      <c r="K100" t="s">
        <v>24</v>
      </c>
      <c r="L100" t="s">
        <v>18</v>
      </c>
    </row>
    <row r="101" spans="1:12" x14ac:dyDescent="0.35">
      <c r="A101">
        <v>100</v>
      </c>
      <c r="B101" t="s">
        <v>41</v>
      </c>
      <c r="C101" t="s">
        <v>12</v>
      </c>
      <c r="D101">
        <v>20</v>
      </c>
      <c r="E101">
        <v>3.6</v>
      </c>
      <c r="F101" t="s">
        <v>13</v>
      </c>
      <c r="G101" t="s">
        <v>152</v>
      </c>
      <c r="H101" t="s">
        <v>153</v>
      </c>
      <c r="I101" t="s">
        <v>132</v>
      </c>
      <c r="J101" t="s">
        <v>17</v>
      </c>
      <c r="K101" t="s">
        <v>24</v>
      </c>
      <c r="L101" t="s">
        <v>18</v>
      </c>
    </row>
    <row r="102" spans="1:12" x14ac:dyDescent="0.35">
      <c r="A102">
        <v>101</v>
      </c>
      <c r="B102" t="s">
        <v>45</v>
      </c>
      <c r="C102" t="s">
        <v>20</v>
      </c>
      <c r="D102">
        <v>21</v>
      </c>
      <c r="E102">
        <v>3.7</v>
      </c>
      <c r="F102" t="s">
        <v>13</v>
      </c>
      <c r="G102" t="s">
        <v>46</v>
      </c>
      <c r="H102" t="s">
        <v>154</v>
      </c>
      <c r="I102" t="s">
        <v>48</v>
      </c>
      <c r="J102" t="s">
        <v>18</v>
      </c>
      <c r="K102" t="s">
        <v>17</v>
      </c>
      <c r="L102" t="s">
        <v>24</v>
      </c>
    </row>
    <row r="103" spans="1:12" x14ac:dyDescent="0.35">
      <c r="A103">
        <v>102</v>
      </c>
      <c r="B103" t="s">
        <v>49</v>
      </c>
      <c r="C103" t="s">
        <v>12</v>
      </c>
      <c r="D103">
        <v>23</v>
      </c>
      <c r="E103">
        <v>3.3</v>
      </c>
      <c r="F103" t="s">
        <v>13</v>
      </c>
      <c r="G103" t="s">
        <v>155</v>
      </c>
      <c r="H103" t="s">
        <v>156</v>
      </c>
      <c r="I103" t="s">
        <v>157</v>
      </c>
      <c r="J103" t="s">
        <v>17</v>
      </c>
      <c r="K103" t="s">
        <v>24</v>
      </c>
      <c r="L103" t="s">
        <v>18</v>
      </c>
    </row>
    <row r="104" spans="1:12" x14ac:dyDescent="0.35">
      <c r="A104">
        <v>103</v>
      </c>
      <c r="B104" t="s">
        <v>53</v>
      </c>
      <c r="C104" t="s">
        <v>20</v>
      </c>
      <c r="D104">
        <v>22</v>
      </c>
      <c r="E104">
        <v>3.5</v>
      </c>
      <c r="F104" t="s">
        <v>13</v>
      </c>
      <c r="G104" t="s">
        <v>158</v>
      </c>
      <c r="H104" t="s">
        <v>159</v>
      </c>
      <c r="I104" t="s">
        <v>160</v>
      </c>
      <c r="J104" t="s">
        <v>18</v>
      </c>
      <c r="K104" t="s">
        <v>17</v>
      </c>
      <c r="L104" t="s">
        <v>24</v>
      </c>
    </row>
    <row r="105" spans="1:12" x14ac:dyDescent="0.35">
      <c r="A105">
        <v>104</v>
      </c>
      <c r="B105" t="s">
        <v>57</v>
      </c>
      <c r="C105" t="s">
        <v>12</v>
      </c>
      <c r="D105">
        <v>21</v>
      </c>
      <c r="E105">
        <v>3.8</v>
      </c>
      <c r="F105" t="s">
        <v>13</v>
      </c>
      <c r="G105" t="s">
        <v>161</v>
      </c>
      <c r="H105" t="s">
        <v>162</v>
      </c>
      <c r="I105" t="s">
        <v>163</v>
      </c>
      <c r="J105" t="s">
        <v>17</v>
      </c>
      <c r="K105" t="s">
        <v>24</v>
      </c>
      <c r="L105" t="s">
        <v>18</v>
      </c>
    </row>
    <row r="106" spans="1:12" x14ac:dyDescent="0.35">
      <c r="A106">
        <v>105</v>
      </c>
      <c r="B106" t="s">
        <v>60</v>
      </c>
      <c r="C106" t="s">
        <v>12</v>
      </c>
      <c r="D106">
        <v>22</v>
      </c>
      <c r="E106">
        <v>3.7</v>
      </c>
      <c r="F106" t="s">
        <v>13</v>
      </c>
      <c r="G106" t="s">
        <v>54</v>
      </c>
      <c r="H106" t="s">
        <v>164</v>
      </c>
      <c r="I106" t="s">
        <v>165</v>
      </c>
      <c r="J106" t="s">
        <v>18</v>
      </c>
      <c r="K106" t="s">
        <v>17</v>
      </c>
      <c r="L106" t="s">
        <v>24</v>
      </c>
    </row>
    <row r="107" spans="1:12" x14ac:dyDescent="0.35">
      <c r="A107">
        <v>106</v>
      </c>
      <c r="B107" t="s">
        <v>61</v>
      </c>
      <c r="C107" t="s">
        <v>20</v>
      </c>
      <c r="D107">
        <v>21</v>
      </c>
      <c r="E107">
        <v>3.3</v>
      </c>
      <c r="F107" t="s">
        <v>13</v>
      </c>
      <c r="G107" t="s">
        <v>166</v>
      </c>
      <c r="H107" t="s">
        <v>167</v>
      </c>
      <c r="I107" t="s">
        <v>168</v>
      </c>
      <c r="J107" t="s">
        <v>18</v>
      </c>
      <c r="K107" t="s">
        <v>24</v>
      </c>
      <c r="L107" t="s">
        <v>17</v>
      </c>
    </row>
    <row r="108" spans="1:12" x14ac:dyDescent="0.35">
      <c r="A108">
        <v>107</v>
      </c>
      <c r="B108" t="s">
        <v>63</v>
      </c>
      <c r="C108" t="s">
        <v>12</v>
      </c>
      <c r="D108">
        <v>23</v>
      </c>
      <c r="E108">
        <v>3.5</v>
      </c>
      <c r="F108" t="s">
        <v>13</v>
      </c>
      <c r="G108" t="s">
        <v>169</v>
      </c>
      <c r="H108" t="s">
        <v>170</v>
      </c>
      <c r="I108" t="s">
        <v>171</v>
      </c>
      <c r="J108" t="s">
        <v>18</v>
      </c>
      <c r="K108" t="s">
        <v>24</v>
      </c>
      <c r="L108" t="s">
        <v>17</v>
      </c>
    </row>
    <row r="109" spans="1:12" x14ac:dyDescent="0.35">
      <c r="A109">
        <v>108</v>
      </c>
      <c r="B109" t="s">
        <v>66</v>
      </c>
      <c r="C109" t="s">
        <v>20</v>
      </c>
      <c r="D109">
        <v>22</v>
      </c>
      <c r="E109">
        <v>3.8</v>
      </c>
      <c r="F109" t="s">
        <v>13</v>
      </c>
      <c r="G109" t="s">
        <v>172</v>
      </c>
      <c r="H109" t="s">
        <v>173</v>
      </c>
      <c r="I109" t="s">
        <v>174</v>
      </c>
      <c r="J109" t="s">
        <v>18</v>
      </c>
      <c r="K109" t="s">
        <v>24</v>
      </c>
      <c r="L109" t="s">
        <v>17</v>
      </c>
    </row>
    <row r="110" spans="1:12" x14ac:dyDescent="0.35">
      <c r="A110">
        <v>109</v>
      </c>
      <c r="B110" t="s">
        <v>68</v>
      </c>
      <c r="C110" t="s">
        <v>12</v>
      </c>
      <c r="D110">
        <v>20</v>
      </c>
      <c r="E110">
        <v>3.6</v>
      </c>
      <c r="F110" t="s">
        <v>13</v>
      </c>
      <c r="G110" t="s">
        <v>175</v>
      </c>
      <c r="H110" t="s">
        <v>176</v>
      </c>
      <c r="I110" t="s">
        <v>177</v>
      </c>
      <c r="J110" t="s">
        <v>18</v>
      </c>
      <c r="K110" t="s">
        <v>24</v>
      </c>
      <c r="L110" t="s">
        <v>17</v>
      </c>
    </row>
    <row r="111" spans="1:12" x14ac:dyDescent="0.35">
      <c r="A111">
        <v>110</v>
      </c>
      <c r="B111" t="s">
        <v>37</v>
      </c>
      <c r="C111" t="s">
        <v>20</v>
      </c>
      <c r="D111">
        <v>21</v>
      </c>
      <c r="E111">
        <v>3.9</v>
      </c>
      <c r="F111" t="s">
        <v>13</v>
      </c>
      <c r="G111" t="s">
        <v>178</v>
      </c>
      <c r="H111" t="s">
        <v>179</v>
      </c>
      <c r="I111" t="s">
        <v>180</v>
      </c>
      <c r="J111" t="s">
        <v>18</v>
      </c>
      <c r="K111" t="s">
        <v>24</v>
      </c>
      <c r="L111" t="s">
        <v>17</v>
      </c>
    </row>
    <row r="112" spans="1:12" x14ac:dyDescent="0.35">
      <c r="A112">
        <v>111</v>
      </c>
      <c r="B112" t="s">
        <v>41</v>
      </c>
      <c r="C112" t="s">
        <v>12</v>
      </c>
      <c r="D112">
        <v>23</v>
      </c>
      <c r="E112">
        <v>3.6</v>
      </c>
      <c r="F112" t="s">
        <v>13</v>
      </c>
      <c r="G112" t="s">
        <v>181</v>
      </c>
      <c r="H112" t="s">
        <v>182</v>
      </c>
      <c r="I112" t="s">
        <v>183</v>
      </c>
      <c r="J112" t="s">
        <v>18</v>
      </c>
      <c r="K112" t="s">
        <v>24</v>
      </c>
      <c r="L112" t="s">
        <v>17</v>
      </c>
    </row>
    <row r="113" spans="1:12" x14ac:dyDescent="0.35">
      <c r="A113">
        <v>112</v>
      </c>
      <c r="B113" t="s">
        <v>45</v>
      </c>
      <c r="C113" t="s">
        <v>20</v>
      </c>
      <c r="D113">
        <v>22</v>
      </c>
      <c r="E113">
        <v>3.7</v>
      </c>
      <c r="F113" t="s">
        <v>13</v>
      </c>
      <c r="G113" t="s">
        <v>145</v>
      </c>
      <c r="H113" t="s">
        <v>184</v>
      </c>
      <c r="I113" t="s">
        <v>147</v>
      </c>
      <c r="J113" t="s">
        <v>18</v>
      </c>
      <c r="K113" t="s">
        <v>24</v>
      </c>
      <c r="L113" t="s">
        <v>17</v>
      </c>
    </row>
    <row r="114" spans="1:12" x14ac:dyDescent="0.35">
      <c r="A114">
        <v>113</v>
      </c>
      <c r="B114" t="s">
        <v>49</v>
      </c>
      <c r="C114" t="s">
        <v>12</v>
      </c>
      <c r="D114">
        <v>20</v>
      </c>
      <c r="E114">
        <v>3.3</v>
      </c>
      <c r="F114" t="s">
        <v>13</v>
      </c>
      <c r="G114" t="s">
        <v>155</v>
      </c>
      <c r="H114" t="s">
        <v>185</v>
      </c>
      <c r="I114" t="s">
        <v>157</v>
      </c>
      <c r="J114" t="s">
        <v>18</v>
      </c>
      <c r="K114" t="s">
        <v>24</v>
      </c>
      <c r="L114" t="s">
        <v>17</v>
      </c>
    </row>
    <row r="115" spans="1:12" x14ac:dyDescent="0.35">
      <c r="A115">
        <v>114</v>
      </c>
      <c r="B115" t="s">
        <v>53</v>
      </c>
      <c r="C115" t="s">
        <v>20</v>
      </c>
      <c r="D115">
        <v>21</v>
      </c>
      <c r="E115">
        <v>3.5</v>
      </c>
      <c r="F115" t="s">
        <v>13</v>
      </c>
      <c r="G115" t="s">
        <v>158</v>
      </c>
      <c r="H115" t="s">
        <v>186</v>
      </c>
      <c r="I115" t="s">
        <v>160</v>
      </c>
      <c r="J115" t="s">
        <v>18</v>
      </c>
      <c r="K115" t="s">
        <v>24</v>
      </c>
      <c r="L115" t="s">
        <v>17</v>
      </c>
    </row>
    <row r="116" spans="1:12" x14ac:dyDescent="0.35">
      <c r="A116">
        <v>115</v>
      </c>
      <c r="B116" t="s">
        <v>57</v>
      </c>
      <c r="C116" t="s">
        <v>12</v>
      </c>
      <c r="D116">
        <v>23</v>
      </c>
      <c r="E116">
        <v>3.8</v>
      </c>
      <c r="F116" t="s">
        <v>13</v>
      </c>
      <c r="G116" t="s">
        <v>161</v>
      </c>
      <c r="H116" t="s">
        <v>162</v>
      </c>
      <c r="I116" t="s">
        <v>163</v>
      </c>
      <c r="J116" t="s">
        <v>18</v>
      </c>
      <c r="K116" t="s">
        <v>24</v>
      </c>
      <c r="L116" t="s">
        <v>17</v>
      </c>
    </row>
    <row r="117" spans="1:12" x14ac:dyDescent="0.35">
      <c r="A117">
        <v>116</v>
      </c>
      <c r="B117" t="s">
        <v>187</v>
      </c>
      <c r="C117" t="s">
        <v>20</v>
      </c>
      <c r="D117">
        <v>20</v>
      </c>
      <c r="E117">
        <v>3.6</v>
      </c>
      <c r="F117" t="s">
        <v>13</v>
      </c>
      <c r="G117" t="s">
        <v>14</v>
      </c>
      <c r="H117" t="s">
        <v>188</v>
      </c>
      <c r="I117" t="s">
        <v>189</v>
      </c>
      <c r="J117" t="s">
        <v>17</v>
      </c>
      <c r="K117" t="s">
        <v>24</v>
      </c>
      <c r="L117" t="s">
        <v>18</v>
      </c>
    </row>
    <row r="118" spans="1:12" x14ac:dyDescent="0.35">
      <c r="A118">
        <v>117</v>
      </c>
      <c r="B118" t="s">
        <v>190</v>
      </c>
      <c r="C118" t="s">
        <v>12</v>
      </c>
      <c r="D118">
        <v>22</v>
      </c>
      <c r="E118">
        <v>3.4</v>
      </c>
      <c r="F118" t="s">
        <v>13</v>
      </c>
      <c r="G118" t="s">
        <v>21</v>
      </c>
      <c r="H118" t="s">
        <v>191</v>
      </c>
      <c r="I118" t="s">
        <v>132</v>
      </c>
      <c r="J118" t="s">
        <v>24</v>
      </c>
      <c r="K118" t="s">
        <v>17</v>
      </c>
      <c r="L118" t="s">
        <v>18</v>
      </c>
    </row>
    <row r="119" spans="1:12" x14ac:dyDescent="0.35">
      <c r="A119">
        <v>118</v>
      </c>
      <c r="B119" t="s">
        <v>192</v>
      </c>
      <c r="C119" t="s">
        <v>20</v>
      </c>
      <c r="D119">
        <v>21</v>
      </c>
      <c r="E119">
        <v>3.9</v>
      </c>
      <c r="F119" t="s">
        <v>13</v>
      </c>
      <c r="G119" t="s">
        <v>26</v>
      </c>
      <c r="H119" t="s">
        <v>50</v>
      </c>
      <c r="I119" t="s">
        <v>28</v>
      </c>
      <c r="J119" t="s">
        <v>17</v>
      </c>
      <c r="K119" t="s">
        <v>17</v>
      </c>
      <c r="L119" t="s">
        <v>24</v>
      </c>
    </row>
    <row r="120" spans="1:12" x14ac:dyDescent="0.35">
      <c r="A120">
        <v>119</v>
      </c>
      <c r="B120" t="s">
        <v>193</v>
      </c>
      <c r="C120" t="s">
        <v>12</v>
      </c>
      <c r="D120">
        <v>23</v>
      </c>
      <c r="E120">
        <v>3.7</v>
      </c>
      <c r="F120" t="s">
        <v>13</v>
      </c>
      <c r="G120" t="s">
        <v>30</v>
      </c>
      <c r="H120" t="s">
        <v>27</v>
      </c>
      <c r="I120" t="s">
        <v>32</v>
      </c>
      <c r="J120" t="s">
        <v>18</v>
      </c>
      <c r="K120" t="s">
        <v>17</v>
      </c>
      <c r="L120" t="s">
        <v>17</v>
      </c>
    </row>
    <row r="121" spans="1:12" x14ac:dyDescent="0.35">
      <c r="A121">
        <v>120</v>
      </c>
      <c r="B121" t="s">
        <v>29</v>
      </c>
      <c r="C121" t="s">
        <v>20</v>
      </c>
      <c r="D121">
        <v>22</v>
      </c>
      <c r="E121">
        <v>3.5</v>
      </c>
      <c r="F121" t="s">
        <v>13</v>
      </c>
      <c r="G121" t="s">
        <v>34</v>
      </c>
      <c r="H121" t="s">
        <v>35</v>
      </c>
      <c r="I121" t="s">
        <v>36</v>
      </c>
      <c r="J121" t="s">
        <v>24</v>
      </c>
      <c r="K121" t="s">
        <v>18</v>
      </c>
      <c r="L121" t="s">
        <v>17</v>
      </c>
    </row>
    <row r="122" spans="1:12" x14ac:dyDescent="0.35">
      <c r="A122">
        <v>121</v>
      </c>
      <c r="B122" t="s">
        <v>194</v>
      </c>
      <c r="C122" t="s">
        <v>12</v>
      </c>
      <c r="D122">
        <v>21</v>
      </c>
      <c r="E122">
        <v>3.8</v>
      </c>
      <c r="F122" t="s">
        <v>13</v>
      </c>
      <c r="G122" t="s">
        <v>38</v>
      </c>
      <c r="H122" t="s">
        <v>195</v>
      </c>
      <c r="I122" t="s">
        <v>40</v>
      </c>
      <c r="J122" t="s">
        <v>17</v>
      </c>
      <c r="K122" t="s">
        <v>18</v>
      </c>
      <c r="L122" t="s">
        <v>18</v>
      </c>
    </row>
    <row r="123" spans="1:12" x14ac:dyDescent="0.35">
      <c r="A123">
        <v>122</v>
      </c>
      <c r="B123" t="s">
        <v>196</v>
      </c>
      <c r="C123" t="s">
        <v>20</v>
      </c>
      <c r="D123">
        <v>20</v>
      </c>
      <c r="E123">
        <v>3.7</v>
      </c>
      <c r="F123" t="s">
        <v>13</v>
      </c>
      <c r="G123" t="s">
        <v>42</v>
      </c>
      <c r="H123" t="s">
        <v>197</v>
      </c>
      <c r="I123" t="s">
        <v>44</v>
      </c>
      <c r="J123" t="s">
        <v>18</v>
      </c>
      <c r="K123" t="s">
        <v>17</v>
      </c>
      <c r="L123" t="s">
        <v>24</v>
      </c>
    </row>
    <row r="124" spans="1:12" x14ac:dyDescent="0.35">
      <c r="A124">
        <v>123</v>
      </c>
      <c r="B124" t="s">
        <v>49</v>
      </c>
      <c r="C124" t="s">
        <v>12</v>
      </c>
      <c r="D124">
        <v>23</v>
      </c>
      <c r="E124">
        <v>3.3</v>
      </c>
      <c r="F124" t="s">
        <v>13</v>
      </c>
      <c r="G124" t="s">
        <v>46</v>
      </c>
      <c r="H124" t="s">
        <v>198</v>
      </c>
      <c r="I124" t="s">
        <v>48</v>
      </c>
      <c r="J124" t="s">
        <v>17</v>
      </c>
      <c r="K124" t="s">
        <v>18</v>
      </c>
      <c r="L124" t="s">
        <v>18</v>
      </c>
    </row>
    <row r="125" spans="1:12" x14ac:dyDescent="0.35">
      <c r="A125">
        <v>124</v>
      </c>
      <c r="B125" t="s">
        <v>199</v>
      </c>
      <c r="C125" t="s">
        <v>20</v>
      </c>
      <c r="D125">
        <v>22</v>
      </c>
      <c r="E125">
        <v>3.5</v>
      </c>
      <c r="F125" t="s">
        <v>13</v>
      </c>
      <c r="G125" t="s">
        <v>50</v>
      </c>
      <c r="H125" t="s">
        <v>200</v>
      </c>
      <c r="I125" t="s">
        <v>52</v>
      </c>
      <c r="J125" t="s">
        <v>24</v>
      </c>
      <c r="K125" t="s">
        <v>17</v>
      </c>
      <c r="L125" t="s">
        <v>18</v>
      </c>
    </row>
    <row r="126" spans="1:12" x14ac:dyDescent="0.35">
      <c r="A126">
        <v>125</v>
      </c>
      <c r="B126" t="s">
        <v>201</v>
      </c>
      <c r="C126" t="s">
        <v>12</v>
      </c>
      <c r="D126">
        <v>21</v>
      </c>
      <c r="E126">
        <v>3.8</v>
      </c>
      <c r="F126" t="s">
        <v>13</v>
      </c>
      <c r="G126" t="s">
        <v>14</v>
      </c>
      <c r="H126" t="s">
        <v>58</v>
      </c>
      <c r="I126" t="s">
        <v>59</v>
      </c>
      <c r="J126" t="s">
        <v>17</v>
      </c>
      <c r="K126" t="s">
        <v>18</v>
      </c>
      <c r="L126" t="s">
        <v>18</v>
      </c>
    </row>
    <row r="127" spans="1:12" x14ac:dyDescent="0.35">
      <c r="A127">
        <v>126</v>
      </c>
      <c r="B127" t="s">
        <v>192</v>
      </c>
      <c r="C127" t="s">
        <v>20</v>
      </c>
      <c r="D127">
        <v>22</v>
      </c>
      <c r="E127">
        <v>3.7</v>
      </c>
      <c r="F127" t="s">
        <v>13</v>
      </c>
      <c r="G127" t="s">
        <v>30</v>
      </c>
      <c r="H127" t="s">
        <v>31</v>
      </c>
      <c r="I127" t="s">
        <v>32</v>
      </c>
      <c r="J127" t="s">
        <v>18</v>
      </c>
      <c r="K127" t="s">
        <v>17</v>
      </c>
      <c r="L127" t="s">
        <v>17</v>
      </c>
    </row>
    <row r="128" spans="1:12" x14ac:dyDescent="0.35">
      <c r="A128">
        <v>127</v>
      </c>
      <c r="B128" t="s">
        <v>202</v>
      </c>
      <c r="C128" t="s">
        <v>12</v>
      </c>
      <c r="D128">
        <v>23</v>
      </c>
      <c r="E128">
        <v>3.3</v>
      </c>
      <c r="F128" t="s">
        <v>13</v>
      </c>
      <c r="G128" t="s">
        <v>50</v>
      </c>
      <c r="H128" t="s">
        <v>203</v>
      </c>
      <c r="I128" t="s">
        <v>52</v>
      </c>
      <c r="J128" t="s">
        <v>24</v>
      </c>
      <c r="K128" t="s">
        <v>18</v>
      </c>
      <c r="L128" t="s">
        <v>17</v>
      </c>
    </row>
    <row r="129" spans="1:12" x14ac:dyDescent="0.35">
      <c r="A129">
        <v>128</v>
      </c>
      <c r="B129" t="s">
        <v>204</v>
      </c>
      <c r="C129" t="s">
        <v>20</v>
      </c>
      <c r="D129">
        <v>20</v>
      </c>
      <c r="E129">
        <v>3.5</v>
      </c>
      <c r="F129" t="s">
        <v>13</v>
      </c>
      <c r="G129" t="s">
        <v>54</v>
      </c>
      <c r="H129" t="s">
        <v>88</v>
      </c>
      <c r="I129" t="s">
        <v>56</v>
      </c>
      <c r="J129" t="s">
        <v>18</v>
      </c>
      <c r="K129" t="s">
        <v>24</v>
      </c>
      <c r="L129" t="s">
        <v>17</v>
      </c>
    </row>
    <row r="130" spans="1:12" x14ac:dyDescent="0.35">
      <c r="A130">
        <v>129</v>
      </c>
      <c r="B130" t="s">
        <v>205</v>
      </c>
      <c r="C130" t="s">
        <v>12</v>
      </c>
      <c r="D130">
        <v>22</v>
      </c>
      <c r="E130">
        <v>3.8</v>
      </c>
      <c r="F130" t="s">
        <v>13</v>
      </c>
      <c r="G130" t="s">
        <v>67</v>
      </c>
      <c r="H130" t="s">
        <v>206</v>
      </c>
      <c r="I130" t="s">
        <v>28</v>
      </c>
      <c r="J130" t="s">
        <v>17</v>
      </c>
      <c r="K130" t="s">
        <v>17</v>
      </c>
      <c r="L130" t="s">
        <v>24</v>
      </c>
    </row>
    <row r="131" spans="1:12" x14ac:dyDescent="0.35">
      <c r="A131">
        <v>130</v>
      </c>
      <c r="B131" t="s">
        <v>207</v>
      </c>
      <c r="C131" t="s">
        <v>20</v>
      </c>
      <c r="D131">
        <v>21</v>
      </c>
      <c r="E131">
        <v>3.7</v>
      </c>
      <c r="F131" t="s">
        <v>13</v>
      </c>
      <c r="G131" t="s">
        <v>34</v>
      </c>
      <c r="H131" t="s">
        <v>35</v>
      </c>
      <c r="I131" t="s">
        <v>36</v>
      </c>
      <c r="J131" t="s">
        <v>24</v>
      </c>
      <c r="K131" t="s">
        <v>18</v>
      </c>
      <c r="L131" t="s">
        <v>17</v>
      </c>
    </row>
    <row r="132" spans="1:12" x14ac:dyDescent="0.35">
      <c r="A132">
        <v>131</v>
      </c>
      <c r="B132" t="s">
        <v>208</v>
      </c>
      <c r="C132" t="s">
        <v>12</v>
      </c>
      <c r="D132">
        <v>23</v>
      </c>
      <c r="E132">
        <v>3.3</v>
      </c>
      <c r="F132" t="s">
        <v>13</v>
      </c>
      <c r="G132" t="s">
        <v>42</v>
      </c>
      <c r="H132" t="s">
        <v>43</v>
      </c>
      <c r="I132" t="s">
        <v>44</v>
      </c>
      <c r="J132" t="s">
        <v>24</v>
      </c>
      <c r="K132" t="s">
        <v>17</v>
      </c>
      <c r="L132" t="s">
        <v>18</v>
      </c>
    </row>
    <row r="133" spans="1:12" x14ac:dyDescent="0.35">
      <c r="A133">
        <v>132</v>
      </c>
      <c r="B133" t="s">
        <v>209</v>
      </c>
      <c r="C133" t="s">
        <v>20</v>
      </c>
      <c r="D133">
        <v>22</v>
      </c>
      <c r="E133">
        <v>3.5</v>
      </c>
      <c r="F133" t="s">
        <v>13</v>
      </c>
      <c r="G133" t="s">
        <v>46</v>
      </c>
      <c r="H133" t="s">
        <v>47</v>
      </c>
      <c r="I133" t="s">
        <v>48</v>
      </c>
      <c r="J133" t="s">
        <v>18</v>
      </c>
      <c r="K133" t="s">
        <v>17</v>
      </c>
      <c r="L133" t="s">
        <v>24</v>
      </c>
    </row>
    <row r="134" spans="1:12" x14ac:dyDescent="0.35">
      <c r="A134">
        <v>133</v>
      </c>
      <c r="B134" t="s">
        <v>210</v>
      </c>
      <c r="C134" t="s">
        <v>12</v>
      </c>
      <c r="D134">
        <v>21</v>
      </c>
      <c r="E134">
        <v>3.8</v>
      </c>
      <c r="F134" t="s">
        <v>13</v>
      </c>
      <c r="G134" t="s">
        <v>14</v>
      </c>
      <c r="H134" t="s">
        <v>140</v>
      </c>
      <c r="I134" t="s">
        <v>189</v>
      </c>
      <c r="J134" t="s">
        <v>17</v>
      </c>
      <c r="K134" t="s">
        <v>24</v>
      </c>
      <c r="L134" t="s">
        <v>18</v>
      </c>
    </row>
    <row r="135" spans="1:12" x14ac:dyDescent="0.35">
      <c r="A135">
        <v>134</v>
      </c>
      <c r="B135" t="s">
        <v>119</v>
      </c>
      <c r="C135" t="s">
        <v>12</v>
      </c>
      <c r="D135">
        <v>23</v>
      </c>
      <c r="E135">
        <v>3.7</v>
      </c>
      <c r="F135" t="s">
        <v>13</v>
      </c>
      <c r="G135" t="s">
        <v>21</v>
      </c>
      <c r="H135" t="s">
        <v>38</v>
      </c>
      <c r="I135" t="s">
        <v>23</v>
      </c>
      <c r="J135" t="s">
        <v>24</v>
      </c>
      <c r="K135" t="s">
        <v>17</v>
      </c>
      <c r="L135" t="s">
        <v>18</v>
      </c>
    </row>
    <row r="136" spans="1:12" x14ac:dyDescent="0.35">
      <c r="A136">
        <v>135</v>
      </c>
      <c r="B136" t="s">
        <v>211</v>
      </c>
      <c r="C136" t="s">
        <v>20</v>
      </c>
      <c r="D136">
        <v>20</v>
      </c>
      <c r="E136">
        <v>3.6</v>
      </c>
      <c r="F136" t="s">
        <v>13</v>
      </c>
      <c r="G136" t="s">
        <v>26</v>
      </c>
      <c r="H136" t="s">
        <v>212</v>
      </c>
      <c r="I136" t="s">
        <v>28</v>
      </c>
      <c r="J136" t="s">
        <v>17</v>
      </c>
      <c r="K136" t="s">
        <v>18</v>
      </c>
      <c r="L136" t="s">
        <v>17</v>
      </c>
    </row>
    <row r="137" spans="1:12" x14ac:dyDescent="0.35">
      <c r="A137">
        <v>136</v>
      </c>
      <c r="B137" t="s">
        <v>213</v>
      </c>
      <c r="C137" t="s">
        <v>12</v>
      </c>
      <c r="D137">
        <v>22</v>
      </c>
      <c r="E137">
        <v>3.4</v>
      </c>
      <c r="F137" t="s">
        <v>13</v>
      </c>
      <c r="G137" t="s">
        <v>30</v>
      </c>
      <c r="H137" t="s">
        <v>27</v>
      </c>
      <c r="I137" t="s">
        <v>32</v>
      </c>
      <c r="J137" t="s">
        <v>18</v>
      </c>
      <c r="K137" t="s">
        <v>17</v>
      </c>
      <c r="L137" t="s">
        <v>17</v>
      </c>
    </row>
    <row r="138" spans="1:12" x14ac:dyDescent="0.35">
      <c r="A138">
        <v>137</v>
      </c>
      <c r="B138" t="s">
        <v>122</v>
      </c>
      <c r="C138" t="s">
        <v>20</v>
      </c>
      <c r="D138">
        <v>21</v>
      </c>
      <c r="E138">
        <v>3.9</v>
      </c>
      <c r="F138" t="s">
        <v>13</v>
      </c>
      <c r="G138" t="s">
        <v>34</v>
      </c>
      <c r="H138" t="s">
        <v>214</v>
      </c>
      <c r="I138" t="s">
        <v>36</v>
      </c>
      <c r="J138" t="s">
        <v>17</v>
      </c>
      <c r="K138" t="s">
        <v>24</v>
      </c>
      <c r="L138" t="s">
        <v>18</v>
      </c>
    </row>
    <row r="139" spans="1:12" x14ac:dyDescent="0.35">
      <c r="A139">
        <v>138</v>
      </c>
      <c r="B139" t="s">
        <v>124</v>
      </c>
      <c r="C139" t="s">
        <v>12</v>
      </c>
      <c r="D139">
        <v>23</v>
      </c>
      <c r="E139">
        <v>3.7</v>
      </c>
      <c r="F139" t="s">
        <v>13</v>
      </c>
      <c r="G139" t="s">
        <v>38</v>
      </c>
      <c r="H139" t="s">
        <v>58</v>
      </c>
      <c r="I139" t="s">
        <v>40</v>
      </c>
      <c r="J139" t="s">
        <v>17</v>
      </c>
      <c r="K139" t="s">
        <v>24</v>
      </c>
      <c r="L139" t="s">
        <v>18</v>
      </c>
    </row>
    <row r="140" spans="1:12" x14ac:dyDescent="0.35">
      <c r="A140">
        <v>139</v>
      </c>
      <c r="B140" t="s">
        <v>126</v>
      </c>
      <c r="C140" t="s">
        <v>20</v>
      </c>
      <c r="D140">
        <v>22</v>
      </c>
      <c r="E140">
        <v>3.5</v>
      </c>
      <c r="F140" t="s">
        <v>13</v>
      </c>
      <c r="G140" t="s">
        <v>42</v>
      </c>
      <c r="H140" t="s">
        <v>215</v>
      </c>
      <c r="I140" t="s">
        <v>44</v>
      </c>
      <c r="J140" t="s">
        <v>18</v>
      </c>
      <c r="K140" t="s">
        <v>17</v>
      </c>
      <c r="L140" t="s">
        <v>24</v>
      </c>
    </row>
    <row r="141" spans="1:12" x14ac:dyDescent="0.35">
      <c r="A141">
        <v>140</v>
      </c>
      <c r="B141" t="s">
        <v>33</v>
      </c>
      <c r="C141" t="s">
        <v>12</v>
      </c>
      <c r="D141">
        <v>21</v>
      </c>
      <c r="E141">
        <v>3.8</v>
      </c>
      <c r="F141" t="s">
        <v>13</v>
      </c>
      <c r="G141" t="s">
        <v>46</v>
      </c>
      <c r="H141" t="s">
        <v>216</v>
      </c>
      <c r="I141" t="s">
        <v>48</v>
      </c>
      <c r="J141" t="s">
        <v>17</v>
      </c>
      <c r="K141" t="s">
        <v>17</v>
      </c>
      <c r="L141" t="s">
        <v>18</v>
      </c>
    </row>
    <row r="142" spans="1:12" x14ac:dyDescent="0.35">
      <c r="A142">
        <v>141</v>
      </c>
      <c r="B142" t="s">
        <v>130</v>
      </c>
      <c r="C142" t="s">
        <v>20</v>
      </c>
      <c r="D142">
        <v>20</v>
      </c>
      <c r="E142">
        <v>3.7</v>
      </c>
      <c r="F142" t="s">
        <v>13</v>
      </c>
      <c r="G142" t="s">
        <v>50</v>
      </c>
      <c r="H142" t="s">
        <v>217</v>
      </c>
      <c r="I142" t="s">
        <v>52</v>
      </c>
      <c r="J142" t="s">
        <v>18</v>
      </c>
      <c r="K142" t="s">
        <v>17</v>
      </c>
      <c r="L142" t="s">
        <v>24</v>
      </c>
    </row>
    <row r="143" spans="1:12" x14ac:dyDescent="0.35">
      <c r="A143">
        <v>142</v>
      </c>
      <c r="B143" t="s">
        <v>133</v>
      </c>
      <c r="C143" t="s">
        <v>12</v>
      </c>
      <c r="D143">
        <v>23</v>
      </c>
      <c r="E143">
        <v>3.3</v>
      </c>
      <c r="F143" t="s">
        <v>13</v>
      </c>
      <c r="G143" t="s">
        <v>14</v>
      </c>
      <c r="H143" t="s">
        <v>218</v>
      </c>
      <c r="I143" t="s">
        <v>189</v>
      </c>
      <c r="J143" t="s">
        <v>17</v>
      </c>
      <c r="K143" t="s">
        <v>18</v>
      </c>
      <c r="L143" t="s">
        <v>24</v>
      </c>
    </row>
    <row r="144" spans="1:12" x14ac:dyDescent="0.35">
      <c r="A144">
        <v>143</v>
      </c>
      <c r="B144" t="s">
        <v>136</v>
      </c>
      <c r="C144" t="s">
        <v>20</v>
      </c>
      <c r="D144">
        <v>22</v>
      </c>
      <c r="E144">
        <v>3.5</v>
      </c>
      <c r="F144" t="s">
        <v>13</v>
      </c>
      <c r="G144" t="s">
        <v>21</v>
      </c>
      <c r="H144" t="s">
        <v>152</v>
      </c>
      <c r="I144" t="s">
        <v>132</v>
      </c>
      <c r="J144" t="s">
        <v>24</v>
      </c>
      <c r="K144" t="s">
        <v>18</v>
      </c>
      <c r="L144" t="s">
        <v>17</v>
      </c>
    </row>
    <row r="145" spans="1:12" x14ac:dyDescent="0.35">
      <c r="A145">
        <v>144</v>
      </c>
      <c r="B145" t="s">
        <v>11</v>
      </c>
      <c r="C145" t="s">
        <v>12</v>
      </c>
      <c r="D145">
        <v>21</v>
      </c>
      <c r="E145">
        <v>3.6</v>
      </c>
      <c r="F145" t="s">
        <v>13</v>
      </c>
      <c r="G145" t="s">
        <v>30</v>
      </c>
      <c r="H145" t="s">
        <v>129</v>
      </c>
      <c r="I145" t="s">
        <v>32</v>
      </c>
      <c r="J145" t="s">
        <v>18</v>
      </c>
      <c r="K145" t="s">
        <v>17</v>
      </c>
      <c r="L145" t="s">
        <v>24</v>
      </c>
    </row>
    <row r="146" spans="1:12" x14ac:dyDescent="0.35">
      <c r="A146">
        <v>145</v>
      </c>
      <c r="B146" t="s">
        <v>19</v>
      </c>
      <c r="C146" t="s">
        <v>20</v>
      </c>
      <c r="D146">
        <v>20</v>
      </c>
      <c r="E146">
        <v>3.7</v>
      </c>
      <c r="F146" t="s">
        <v>13</v>
      </c>
      <c r="G146" t="s">
        <v>38</v>
      </c>
      <c r="H146" t="s">
        <v>140</v>
      </c>
      <c r="I146" t="s">
        <v>40</v>
      </c>
      <c r="J146" t="s">
        <v>17</v>
      </c>
      <c r="K146" t="s">
        <v>24</v>
      </c>
      <c r="L146" t="s">
        <v>18</v>
      </c>
    </row>
    <row r="147" spans="1:12" x14ac:dyDescent="0.35">
      <c r="A147">
        <v>146</v>
      </c>
      <c r="B147" t="s">
        <v>219</v>
      </c>
      <c r="C147" t="s">
        <v>20</v>
      </c>
      <c r="D147">
        <v>22</v>
      </c>
      <c r="E147">
        <v>3.7</v>
      </c>
      <c r="F147" t="s">
        <v>13</v>
      </c>
      <c r="G147" t="s">
        <v>14</v>
      </c>
      <c r="H147" t="s">
        <v>218</v>
      </c>
      <c r="I147" t="s">
        <v>189</v>
      </c>
      <c r="J147" t="s">
        <v>17</v>
      </c>
      <c r="K147" t="s">
        <v>24</v>
      </c>
      <c r="L147" t="s">
        <v>18</v>
      </c>
    </row>
    <row r="148" spans="1:12" x14ac:dyDescent="0.35">
      <c r="A148">
        <v>147</v>
      </c>
      <c r="B148" t="s">
        <v>220</v>
      </c>
      <c r="C148" t="s">
        <v>12</v>
      </c>
      <c r="D148">
        <v>21</v>
      </c>
      <c r="E148">
        <v>3.6</v>
      </c>
      <c r="F148" t="s">
        <v>13</v>
      </c>
      <c r="G148" t="s">
        <v>21</v>
      </c>
      <c r="H148" t="s">
        <v>38</v>
      </c>
      <c r="I148" t="s">
        <v>23</v>
      </c>
      <c r="J148" t="s">
        <v>17</v>
      </c>
      <c r="K148" t="s">
        <v>24</v>
      </c>
      <c r="L148" t="s">
        <v>18</v>
      </c>
    </row>
    <row r="149" spans="1:12" x14ac:dyDescent="0.35">
      <c r="A149">
        <v>148</v>
      </c>
      <c r="B149" t="s">
        <v>221</v>
      </c>
      <c r="C149" t="s">
        <v>20</v>
      </c>
      <c r="D149">
        <v>20</v>
      </c>
      <c r="E149">
        <v>3.8</v>
      </c>
      <c r="F149" t="s">
        <v>13</v>
      </c>
      <c r="G149" t="s">
        <v>26</v>
      </c>
      <c r="H149" t="s">
        <v>50</v>
      </c>
      <c r="I149" t="s">
        <v>28</v>
      </c>
      <c r="J149" t="s">
        <v>17</v>
      </c>
      <c r="K149" t="s">
        <v>17</v>
      </c>
      <c r="L149" t="s">
        <v>24</v>
      </c>
    </row>
    <row r="150" spans="1:12" x14ac:dyDescent="0.35">
      <c r="A150">
        <v>149</v>
      </c>
      <c r="B150" t="s">
        <v>222</v>
      </c>
      <c r="C150" t="s">
        <v>12</v>
      </c>
      <c r="D150">
        <v>23</v>
      </c>
      <c r="E150">
        <v>3.7</v>
      </c>
      <c r="F150" t="s">
        <v>13</v>
      </c>
      <c r="G150" t="s">
        <v>30</v>
      </c>
      <c r="H150" t="s">
        <v>27</v>
      </c>
      <c r="I150" t="s">
        <v>32</v>
      </c>
      <c r="J150" t="s">
        <v>18</v>
      </c>
      <c r="K150" t="s">
        <v>17</v>
      </c>
      <c r="L150" t="s">
        <v>17</v>
      </c>
    </row>
    <row r="151" spans="1:12" x14ac:dyDescent="0.35">
      <c r="A151">
        <v>150</v>
      </c>
      <c r="B151" t="s">
        <v>126</v>
      </c>
      <c r="C151" t="s">
        <v>20</v>
      </c>
      <c r="D151">
        <v>22</v>
      </c>
      <c r="E151">
        <v>3.5</v>
      </c>
      <c r="F151" t="s">
        <v>13</v>
      </c>
      <c r="G151" t="s">
        <v>34</v>
      </c>
      <c r="H151" t="s">
        <v>35</v>
      </c>
      <c r="I151" t="s">
        <v>36</v>
      </c>
      <c r="J151" t="s">
        <v>24</v>
      </c>
      <c r="K151" t="s">
        <v>18</v>
      </c>
      <c r="L151" t="s">
        <v>17</v>
      </c>
    </row>
    <row r="152" spans="1:12" x14ac:dyDescent="0.35">
      <c r="A152">
        <v>151</v>
      </c>
      <c r="B152" t="s">
        <v>202</v>
      </c>
      <c r="C152" t="s">
        <v>12</v>
      </c>
      <c r="D152">
        <v>21</v>
      </c>
      <c r="E152">
        <v>3.9</v>
      </c>
      <c r="F152" t="s">
        <v>13</v>
      </c>
      <c r="G152" t="s">
        <v>38</v>
      </c>
      <c r="H152" t="s">
        <v>195</v>
      </c>
      <c r="I152" t="s">
        <v>40</v>
      </c>
      <c r="J152" t="s">
        <v>17</v>
      </c>
      <c r="K152" t="s">
        <v>24</v>
      </c>
      <c r="L152" t="s">
        <v>18</v>
      </c>
    </row>
    <row r="153" spans="1:12" x14ac:dyDescent="0.35">
      <c r="A153">
        <v>152</v>
      </c>
      <c r="B153" t="s">
        <v>219</v>
      </c>
      <c r="C153" t="s">
        <v>20</v>
      </c>
      <c r="D153">
        <v>22</v>
      </c>
      <c r="E153">
        <v>3.7</v>
      </c>
      <c r="F153" t="s">
        <v>13</v>
      </c>
      <c r="G153" t="s">
        <v>42</v>
      </c>
      <c r="H153" t="s">
        <v>197</v>
      </c>
      <c r="I153" t="s">
        <v>44</v>
      </c>
      <c r="J153" t="s">
        <v>18</v>
      </c>
      <c r="K153" t="s">
        <v>17</v>
      </c>
      <c r="L153" t="s">
        <v>24</v>
      </c>
    </row>
    <row r="154" spans="1:12" x14ac:dyDescent="0.35">
      <c r="A154">
        <v>153</v>
      </c>
      <c r="B154" t="s">
        <v>49</v>
      </c>
      <c r="C154" t="s">
        <v>12</v>
      </c>
      <c r="D154">
        <v>20</v>
      </c>
      <c r="E154">
        <v>3.6</v>
      </c>
      <c r="F154" t="s">
        <v>13</v>
      </c>
      <c r="G154" t="s">
        <v>46</v>
      </c>
      <c r="H154" t="s">
        <v>198</v>
      </c>
      <c r="I154" t="s">
        <v>48</v>
      </c>
      <c r="J154" t="s">
        <v>17</v>
      </c>
      <c r="K154" t="s">
        <v>18</v>
      </c>
      <c r="L154" t="s">
        <v>18</v>
      </c>
    </row>
    <row r="155" spans="1:12" x14ac:dyDescent="0.35">
      <c r="A155">
        <v>154</v>
      </c>
      <c r="B155" t="s">
        <v>53</v>
      </c>
      <c r="C155" t="s">
        <v>20</v>
      </c>
      <c r="D155">
        <v>21</v>
      </c>
      <c r="E155">
        <v>3.5</v>
      </c>
      <c r="F155" t="s">
        <v>13</v>
      </c>
      <c r="G155" t="s">
        <v>50</v>
      </c>
      <c r="H155" t="s">
        <v>200</v>
      </c>
      <c r="I155" t="s">
        <v>52</v>
      </c>
      <c r="J155" t="s">
        <v>18</v>
      </c>
      <c r="K155" t="s">
        <v>17</v>
      </c>
      <c r="L155" t="s">
        <v>24</v>
      </c>
    </row>
    <row r="156" spans="1:12" x14ac:dyDescent="0.35">
      <c r="A156">
        <v>155</v>
      </c>
      <c r="B156" t="s">
        <v>201</v>
      </c>
      <c r="C156" t="s">
        <v>12</v>
      </c>
      <c r="D156">
        <v>23</v>
      </c>
      <c r="E156">
        <v>3.8</v>
      </c>
      <c r="F156" t="s">
        <v>13</v>
      </c>
      <c r="G156" t="s">
        <v>14</v>
      </c>
      <c r="H156" t="s">
        <v>58</v>
      </c>
      <c r="I156" t="s">
        <v>59</v>
      </c>
      <c r="J156" t="s">
        <v>17</v>
      </c>
      <c r="K156" t="s">
        <v>18</v>
      </c>
      <c r="L156" t="s">
        <v>18</v>
      </c>
    </row>
    <row r="157" spans="1:12" x14ac:dyDescent="0.35">
      <c r="A157">
        <v>156</v>
      </c>
      <c r="B157" t="s">
        <v>223</v>
      </c>
      <c r="C157" t="s">
        <v>12</v>
      </c>
      <c r="D157">
        <v>22</v>
      </c>
      <c r="E157">
        <v>3.7</v>
      </c>
      <c r="F157" t="s">
        <v>13</v>
      </c>
      <c r="G157" t="s">
        <v>30</v>
      </c>
      <c r="H157" t="s">
        <v>31</v>
      </c>
      <c r="I157" t="s">
        <v>32</v>
      </c>
      <c r="J157" t="s">
        <v>18</v>
      </c>
      <c r="K157" t="s">
        <v>17</v>
      </c>
      <c r="L157" t="s">
        <v>17</v>
      </c>
    </row>
    <row r="158" spans="1:12" x14ac:dyDescent="0.35">
      <c r="A158">
        <v>157</v>
      </c>
      <c r="B158" t="s">
        <v>209</v>
      </c>
      <c r="C158" t="s">
        <v>20</v>
      </c>
      <c r="D158">
        <v>20</v>
      </c>
      <c r="E158">
        <v>3.6</v>
      </c>
      <c r="F158" t="s">
        <v>13</v>
      </c>
      <c r="G158" t="s">
        <v>34</v>
      </c>
      <c r="H158" t="s">
        <v>214</v>
      </c>
      <c r="I158" t="s">
        <v>36</v>
      </c>
      <c r="J158" t="s">
        <v>17</v>
      </c>
      <c r="K158" t="s">
        <v>24</v>
      </c>
      <c r="L158" t="s">
        <v>18</v>
      </c>
    </row>
    <row r="159" spans="1:12" x14ac:dyDescent="0.35">
      <c r="A159">
        <v>158</v>
      </c>
      <c r="B159" t="s">
        <v>124</v>
      </c>
      <c r="C159" t="s">
        <v>12</v>
      </c>
      <c r="D159">
        <v>21</v>
      </c>
      <c r="E159">
        <v>3.4</v>
      </c>
      <c r="F159" t="s">
        <v>13</v>
      </c>
      <c r="G159" t="s">
        <v>38</v>
      </c>
      <c r="H159" t="s">
        <v>58</v>
      </c>
      <c r="I159" t="s">
        <v>40</v>
      </c>
      <c r="J159" t="s">
        <v>17</v>
      </c>
      <c r="K159" t="s">
        <v>24</v>
      </c>
      <c r="L159" t="s">
        <v>18</v>
      </c>
    </row>
    <row r="160" spans="1:12" x14ac:dyDescent="0.35">
      <c r="A160">
        <v>159</v>
      </c>
      <c r="B160" t="s">
        <v>126</v>
      </c>
      <c r="C160" t="s">
        <v>20</v>
      </c>
      <c r="D160">
        <v>22</v>
      </c>
      <c r="E160">
        <v>3.5</v>
      </c>
      <c r="F160" t="s">
        <v>13</v>
      </c>
      <c r="G160" t="s">
        <v>42</v>
      </c>
      <c r="H160" t="s">
        <v>215</v>
      </c>
      <c r="I160" t="s">
        <v>44</v>
      </c>
      <c r="J160" t="s">
        <v>18</v>
      </c>
      <c r="K160" t="s">
        <v>17</v>
      </c>
      <c r="L160" t="s">
        <v>24</v>
      </c>
    </row>
    <row r="161" spans="1:12" x14ac:dyDescent="0.35">
      <c r="A161">
        <v>160</v>
      </c>
      <c r="B161" t="s">
        <v>33</v>
      </c>
      <c r="C161" t="s">
        <v>12</v>
      </c>
      <c r="D161">
        <v>23</v>
      </c>
      <c r="E161">
        <v>3.7</v>
      </c>
      <c r="F161" t="s">
        <v>13</v>
      </c>
      <c r="G161" t="s">
        <v>46</v>
      </c>
      <c r="H161" t="s">
        <v>216</v>
      </c>
      <c r="I161" t="s">
        <v>48</v>
      </c>
      <c r="J161" t="s">
        <v>17</v>
      </c>
      <c r="K161" t="s">
        <v>17</v>
      </c>
      <c r="L161" t="s">
        <v>18</v>
      </c>
    </row>
    <row r="162" spans="1:12" x14ac:dyDescent="0.35">
      <c r="A162">
        <v>161</v>
      </c>
      <c r="B162" t="s">
        <v>130</v>
      </c>
      <c r="C162" t="s">
        <v>20</v>
      </c>
      <c r="D162">
        <v>20</v>
      </c>
      <c r="E162">
        <v>3.8</v>
      </c>
      <c r="F162" t="s">
        <v>13</v>
      </c>
      <c r="G162" t="s">
        <v>50</v>
      </c>
      <c r="H162" t="s">
        <v>217</v>
      </c>
      <c r="I162" t="s">
        <v>52</v>
      </c>
      <c r="J162" t="s">
        <v>18</v>
      </c>
      <c r="K162" t="s">
        <v>17</v>
      </c>
      <c r="L162" t="s">
        <v>24</v>
      </c>
    </row>
    <row r="163" spans="1:12" x14ac:dyDescent="0.35">
      <c r="A163">
        <v>162</v>
      </c>
      <c r="B163" t="s">
        <v>133</v>
      </c>
      <c r="C163" t="s">
        <v>12</v>
      </c>
      <c r="D163">
        <v>21</v>
      </c>
      <c r="E163">
        <v>3.7</v>
      </c>
      <c r="F163" t="s">
        <v>13</v>
      </c>
      <c r="G163" t="s">
        <v>14</v>
      </c>
      <c r="H163" t="s">
        <v>218</v>
      </c>
      <c r="I163" t="s">
        <v>189</v>
      </c>
      <c r="J163" t="s">
        <v>17</v>
      </c>
      <c r="K163" t="s">
        <v>18</v>
      </c>
      <c r="L163" t="s">
        <v>24</v>
      </c>
    </row>
    <row r="164" spans="1:12" x14ac:dyDescent="0.35">
      <c r="A164">
        <v>163</v>
      </c>
      <c r="B164" t="s">
        <v>136</v>
      </c>
      <c r="C164" t="s">
        <v>20</v>
      </c>
      <c r="D164">
        <v>22</v>
      </c>
      <c r="E164">
        <v>3.5</v>
      </c>
      <c r="F164" t="s">
        <v>13</v>
      </c>
      <c r="G164" t="s">
        <v>21</v>
      </c>
      <c r="H164" t="s">
        <v>152</v>
      </c>
      <c r="I164" t="s">
        <v>132</v>
      </c>
      <c r="J164" t="s">
        <v>24</v>
      </c>
      <c r="K164" t="s">
        <v>18</v>
      </c>
      <c r="L164" t="s">
        <v>17</v>
      </c>
    </row>
    <row r="165" spans="1:12" x14ac:dyDescent="0.35">
      <c r="A165">
        <v>164</v>
      </c>
      <c r="B165" t="s">
        <v>11</v>
      </c>
      <c r="C165" t="s">
        <v>12</v>
      </c>
      <c r="D165">
        <v>23</v>
      </c>
      <c r="E165">
        <v>3.6</v>
      </c>
      <c r="F165" t="s">
        <v>13</v>
      </c>
      <c r="G165" t="s">
        <v>30</v>
      </c>
      <c r="H165" t="s">
        <v>129</v>
      </c>
      <c r="I165" t="s">
        <v>32</v>
      </c>
      <c r="J165" t="s">
        <v>18</v>
      </c>
      <c r="K165" t="s">
        <v>17</v>
      </c>
      <c r="L165" t="s">
        <v>24</v>
      </c>
    </row>
    <row r="166" spans="1:12" x14ac:dyDescent="0.35">
      <c r="A166">
        <v>165</v>
      </c>
      <c r="B166" t="s">
        <v>19</v>
      </c>
      <c r="C166" t="s">
        <v>20</v>
      </c>
      <c r="D166">
        <v>20</v>
      </c>
      <c r="E166">
        <v>3.7</v>
      </c>
      <c r="F166" t="s">
        <v>13</v>
      </c>
      <c r="G166" t="s">
        <v>38</v>
      </c>
      <c r="H166" t="s">
        <v>140</v>
      </c>
      <c r="I166" t="s">
        <v>40</v>
      </c>
      <c r="J166" t="s">
        <v>17</v>
      </c>
      <c r="K166" t="s">
        <v>24</v>
      </c>
      <c r="L166" t="s">
        <v>18</v>
      </c>
    </row>
    <row r="167" spans="1:12" x14ac:dyDescent="0.35">
      <c r="A167">
        <v>166</v>
      </c>
      <c r="B167" t="s">
        <v>219</v>
      </c>
      <c r="C167" t="s">
        <v>20</v>
      </c>
      <c r="D167">
        <v>22</v>
      </c>
      <c r="E167">
        <v>3.7</v>
      </c>
      <c r="F167" t="s">
        <v>13</v>
      </c>
      <c r="G167" t="s">
        <v>14</v>
      </c>
      <c r="H167" t="s">
        <v>188</v>
      </c>
      <c r="I167" t="s">
        <v>189</v>
      </c>
      <c r="J167" t="s">
        <v>17</v>
      </c>
      <c r="K167" t="s">
        <v>24</v>
      </c>
      <c r="L167" t="s">
        <v>18</v>
      </c>
    </row>
    <row r="168" spans="1:12" x14ac:dyDescent="0.35">
      <c r="A168">
        <v>167</v>
      </c>
      <c r="B168" t="s">
        <v>220</v>
      </c>
      <c r="C168" t="s">
        <v>12</v>
      </c>
      <c r="D168">
        <v>21</v>
      </c>
      <c r="E168">
        <v>3.6</v>
      </c>
      <c r="F168" t="s">
        <v>13</v>
      </c>
      <c r="G168" t="s">
        <v>21</v>
      </c>
      <c r="H168" t="s">
        <v>191</v>
      </c>
      <c r="I168" t="s">
        <v>132</v>
      </c>
      <c r="J168" t="s">
        <v>24</v>
      </c>
      <c r="K168" t="s">
        <v>17</v>
      </c>
      <c r="L168" t="s">
        <v>18</v>
      </c>
    </row>
    <row r="169" spans="1:12" x14ac:dyDescent="0.35">
      <c r="A169">
        <v>168</v>
      </c>
      <c r="B169" t="s">
        <v>221</v>
      </c>
      <c r="C169" t="s">
        <v>20</v>
      </c>
      <c r="D169">
        <v>20</v>
      </c>
      <c r="E169">
        <v>3.8</v>
      </c>
      <c r="F169" t="s">
        <v>13</v>
      </c>
      <c r="G169" t="s">
        <v>26</v>
      </c>
      <c r="H169" t="s">
        <v>50</v>
      </c>
      <c r="I169" t="s">
        <v>28</v>
      </c>
      <c r="J169" t="s">
        <v>17</v>
      </c>
      <c r="K169" t="s">
        <v>17</v>
      </c>
      <c r="L169" t="s">
        <v>24</v>
      </c>
    </row>
    <row r="170" spans="1:12" x14ac:dyDescent="0.35">
      <c r="A170">
        <v>169</v>
      </c>
      <c r="B170" t="s">
        <v>222</v>
      </c>
      <c r="C170" t="s">
        <v>12</v>
      </c>
      <c r="D170">
        <v>23</v>
      </c>
      <c r="E170">
        <v>3.7</v>
      </c>
      <c r="F170" t="s">
        <v>13</v>
      </c>
      <c r="G170" t="s">
        <v>30</v>
      </c>
      <c r="H170" t="s">
        <v>27</v>
      </c>
      <c r="I170" t="s">
        <v>32</v>
      </c>
      <c r="J170" t="s">
        <v>18</v>
      </c>
      <c r="K170" t="s">
        <v>17</v>
      </c>
      <c r="L170" t="s">
        <v>17</v>
      </c>
    </row>
    <row r="171" spans="1:12" x14ac:dyDescent="0.35">
      <c r="A171">
        <v>170</v>
      </c>
      <c r="B171" t="s">
        <v>126</v>
      </c>
      <c r="C171" t="s">
        <v>20</v>
      </c>
      <c r="D171">
        <v>22</v>
      </c>
      <c r="E171">
        <v>3.5</v>
      </c>
      <c r="F171" t="s">
        <v>13</v>
      </c>
      <c r="G171" t="s">
        <v>34</v>
      </c>
      <c r="H171" t="s">
        <v>35</v>
      </c>
      <c r="I171" t="s">
        <v>36</v>
      </c>
      <c r="J171" t="s">
        <v>24</v>
      </c>
      <c r="K171" t="s">
        <v>18</v>
      </c>
      <c r="L171" t="s">
        <v>17</v>
      </c>
    </row>
    <row r="172" spans="1:12" x14ac:dyDescent="0.35">
      <c r="A172">
        <v>171</v>
      </c>
      <c r="B172" t="s">
        <v>202</v>
      </c>
      <c r="C172" t="s">
        <v>12</v>
      </c>
      <c r="D172">
        <v>21</v>
      </c>
      <c r="E172">
        <v>3.9</v>
      </c>
      <c r="F172" t="s">
        <v>13</v>
      </c>
      <c r="G172" t="s">
        <v>38</v>
      </c>
      <c r="H172" t="s">
        <v>195</v>
      </c>
      <c r="I172" t="s">
        <v>40</v>
      </c>
      <c r="J172" t="s">
        <v>17</v>
      </c>
      <c r="K172" t="s">
        <v>24</v>
      </c>
      <c r="L172" t="s">
        <v>18</v>
      </c>
    </row>
    <row r="173" spans="1:12" x14ac:dyDescent="0.35">
      <c r="A173">
        <v>172</v>
      </c>
      <c r="B173" t="s">
        <v>219</v>
      </c>
      <c r="C173" t="s">
        <v>20</v>
      </c>
      <c r="D173">
        <v>22</v>
      </c>
      <c r="E173">
        <v>3.7</v>
      </c>
      <c r="F173" t="s">
        <v>13</v>
      </c>
      <c r="G173" t="s">
        <v>42</v>
      </c>
      <c r="H173" t="s">
        <v>197</v>
      </c>
      <c r="I173" t="s">
        <v>44</v>
      </c>
      <c r="J173" t="s">
        <v>18</v>
      </c>
      <c r="K173" t="s">
        <v>17</v>
      </c>
      <c r="L173" t="s">
        <v>24</v>
      </c>
    </row>
    <row r="174" spans="1:12" x14ac:dyDescent="0.35">
      <c r="A174">
        <v>173</v>
      </c>
      <c r="B174" t="s">
        <v>49</v>
      </c>
      <c r="C174" t="s">
        <v>12</v>
      </c>
      <c r="D174">
        <v>20</v>
      </c>
      <c r="E174">
        <v>3.6</v>
      </c>
      <c r="F174" t="s">
        <v>13</v>
      </c>
      <c r="G174" t="s">
        <v>46</v>
      </c>
      <c r="H174" t="s">
        <v>198</v>
      </c>
      <c r="I174" t="s">
        <v>48</v>
      </c>
      <c r="J174" t="s">
        <v>17</v>
      </c>
      <c r="K174" t="s">
        <v>18</v>
      </c>
      <c r="L174" t="s">
        <v>18</v>
      </c>
    </row>
    <row r="175" spans="1:12" x14ac:dyDescent="0.35">
      <c r="A175">
        <v>174</v>
      </c>
      <c r="B175" t="s">
        <v>53</v>
      </c>
      <c r="C175" t="s">
        <v>20</v>
      </c>
      <c r="D175">
        <v>21</v>
      </c>
      <c r="E175">
        <v>3.5</v>
      </c>
      <c r="F175" t="s">
        <v>13</v>
      </c>
      <c r="G175" t="s">
        <v>50</v>
      </c>
      <c r="H175" t="s">
        <v>200</v>
      </c>
      <c r="I175" t="s">
        <v>52</v>
      </c>
      <c r="J175" t="s">
        <v>18</v>
      </c>
      <c r="K175" t="s">
        <v>17</v>
      </c>
      <c r="L175" t="s">
        <v>24</v>
      </c>
    </row>
    <row r="176" spans="1:12" x14ac:dyDescent="0.35">
      <c r="A176">
        <v>175</v>
      </c>
      <c r="B176" t="s">
        <v>201</v>
      </c>
      <c r="C176" t="s">
        <v>12</v>
      </c>
      <c r="D176">
        <v>23</v>
      </c>
      <c r="E176">
        <v>3.8</v>
      </c>
      <c r="F176" t="s">
        <v>13</v>
      </c>
      <c r="G176" t="s">
        <v>14</v>
      </c>
      <c r="H176" t="s">
        <v>58</v>
      </c>
      <c r="I176" t="s">
        <v>59</v>
      </c>
      <c r="J176" t="s">
        <v>17</v>
      </c>
      <c r="K176" t="s">
        <v>18</v>
      </c>
      <c r="L176" t="s">
        <v>18</v>
      </c>
    </row>
    <row r="177" spans="1:12" x14ac:dyDescent="0.35">
      <c r="A177">
        <v>176</v>
      </c>
      <c r="B177" t="s">
        <v>223</v>
      </c>
      <c r="C177" t="s">
        <v>12</v>
      </c>
      <c r="D177">
        <v>22</v>
      </c>
      <c r="E177">
        <v>3.7</v>
      </c>
      <c r="F177" t="s">
        <v>13</v>
      </c>
      <c r="G177" t="s">
        <v>30</v>
      </c>
      <c r="H177" t="s">
        <v>31</v>
      </c>
      <c r="I177" t="s">
        <v>32</v>
      </c>
      <c r="J177" t="s">
        <v>18</v>
      </c>
      <c r="K177" t="s">
        <v>17</v>
      </c>
      <c r="L177" t="s">
        <v>17</v>
      </c>
    </row>
    <row r="178" spans="1:12" x14ac:dyDescent="0.35">
      <c r="A178">
        <v>177</v>
      </c>
      <c r="B178" t="s">
        <v>209</v>
      </c>
      <c r="C178" t="s">
        <v>20</v>
      </c>
      <c r="D178">
        <v>20</v>
      </c>
      <c r="E178">
        <v>3.6</v>
      </c>
      <c r="F178" t="s">
        <v>13</v>
      </c>
      <c r="G178" t="s">
        <v>34</v>
      </c>
      <c r="H178" t="s">
        <v>214</v>
      </c>
      <c r="I178" t="s">
        <v>36</v>
      </c>
      <c r="J178" t="s">
        <v>17</v>
      </c>
      <c r="K178" t="s">
        <v>24</v>
      </c>
      <c r="L178" t="s">
        <v>18</v>
      </c>
    </row>
    <row r="179" spans="1:12" x14ac:dyDescent="0.35">
      <c r="A179">
        <v>178</v>
      </c>
      <c r="B179" t="s">
        <v>124</v>
      </c>
      <c r="C179" t="s">
        <v>12</v>
      </c>
      <c r="D179">
        <v>21</v>
      </c>
      <c r="E179">
        <v>3.4</v>
      </c>
      <c r="F179" t="s">
        <v>13</v>
      </c>
      <c r="G179" t="s">
        <v>38</v>
      </c>
      <c r="H179" t="s">
        <v>58</v>
      </c>
      <c r="I179" t="s">
        <v>40</v>
      </c>
      <c r="J179" t="s">
        <v>17</v>
      </c>
      <c r="K179" t="s">
        <v>24</v>
      </c>
      <c r="L179" t="s">
        <v>18</v>
      </c>
    </row>
    <row r="180" spans="1:12" x14ac:dyDescent="0.35">
      <c r="A180">
        <v>179</v>
      </c>
      <c r="B180" t="s">
        <v>126</v>
      </c>
      <c r="C180" t="s">
        <v>20</v>
      </c>
      <c r="D180">
        <v>22</v>
      </c>
      <c r="E180">
        <v>3.5</v>
      </c>
      <c r="F180" t="s">
        <v>13</v>
      </c>
      <c r="G180" t="s">
        <v>42</v>
      </c>
      <c r="H180" t="s">
        <v>215</v>
      </c>
      <c r="I180" t="s">
        <v>44</v>
      </c>
      <c r="J180" t="s">
        <v>18</v>
      </c>
      <c r="K180" t="s">
        <v>17</v>
      </c>
      <c r="L180" t="s">
        <v>24</v>
      </c>
    </row>
    <row r="181" spans="1:12" x14ac:dyDescent="0.35">
      <c r="A181">
        <v>180</v>
      </c>
      <c r="B181" t="s">
        <v>33</v>
      </c>
      <c r="C181" t="s">
        <v>12</v>
      </c>
      <c r="D181">
        <v>23</v>
      </c>
      <c r="E181">
        <v>3.7</v>
      </c>
      <c r="F181" t="s">
        <v>13</v>
      </c>
      <c r="G181" t="s">
        <v>46</v>
      </c>
      <c r="H181" t="s">
        <v>216</v>
      </c>
      <c r="I181" t="s">
        <v>48</v>
      </c>
      <c r="J181" t="s">
        <v>17</v>
      </c>
      <c r="K181" t="s">
        <v>17</v>
      </c>
      <c r="L18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20B1C-946C-48C7-908E-A11546E7B2EC}">
  <dimension ref="A1:O181"/>
  <sheetViews>
    <sheetView zoomScale="94" zoomScaleNormal="99" workbookViewId="0">
      <selection activeCell="M3" sqref="M3"/>
    </sheetView>
  </sheetViews>
  <sheetFormatPr defaultColWidth="10.453125" defaultRowHeight="14.5" x14ac:dyDescent="0.35"/>
  <cols>
    <col min="1" max="1" width="10.26953125" style="2" bestFit="1" customWidth="1"/>
    <col min="2" max="2" width="18.08984375" bestFit="1" customWidth="1"/>
    <col min="3" max="3" width="7.08984375" bestFit="1" customWidth="1"/>
    <col min="4" max="4" width="4.1796875" bestFit="1" customWidth="1"/>
    <col min="5" max="5" width="4.453125" bestFit="1" customWidth="1"/>
    <col min="6" max="6" width="5.90625" bestFit="1" customWidth="1"/>
    <col min="7" max="7" width="28.26953125" bestFit="1" customWidth="1"/>
    <col min="8" max="8" width="29.6328125" bestFit="1" customWidth="1"/>
    <col min="9" max="9" width="28.36328125" bestFit="1" customWidth="1"/>
    <col min="10" max="12" width="7.54296875" bestFit="1" customWidth="1"/>
    <col min="13" max="13" width="15.36328125" bestFit="1" customWidth="1"/>
    <col min="14" max="14" width="12.36328125" bestFit="1" customWidth="1"/>
    <col min="15" max="15" width="23.90625" bestFit="1" customWidth="1"/>
  </cols>
  <sheetData>
    <row r="1" spans="1:15" x14ac:dyDescent="0.35">
      <c r="A1" s="1" t="s">
        <v>231</v>
      </c>
      <c r="B1" s="3" t="s">
        <v>0</v>
      </c>
      <c r="C1" s="3" t="s">
        <v>1</v>
      </c>
      <c r="D1" s="1" t="s">
        <v>2</v>
      </c>
      <c r="E1" s="5" t="s">
        <v>3</v>
      </c>
      <c r="F1" s="5" t="s">
        <v>234</v>
      </c>
      <c r="G1" s="3" t="s">
        <v>230</v>
      </c>
      <c r="H1" s="3" t="s">
        <v>6</v>
      </c>
      <c r="I1" s="3" t="s">
        <v>229</v>
      </c>
      <c r="J1" s="3" t="s">
        <v>8</v>
      </c>
      <c r="K1" s="3" t="s">
        <v>9</v>
      </c>
      <c r="L1" s="3" t="s">
        <v>10</v>
      </c>
      <c r="M1" s="11" t="s">
        <v>228</v>
      </c>
      <c r="N1" s="11" t="s">
        <v>227</v>
      </c>
      <c r="O1" s="11" t="s">
        <v>232</v>
      </c>
    </row>
    <row r="2" spans="1:15" x14ac:dyDescent="0.35">
      <c r="A2" s="7">
        <v>1</v>
      </c>
      <c r="B2" s="4" t="s">
        <v>11</v>
      </c>
      <c r="C2" s="4" t="s">
        <v>12</v>
      </c>
      <c r="D2" s="7">
        <v>21</v>
      </c>
      <c r="E2" s="6">
        <v>3.5</v>
      </c>
      <c r="F2" s="6" t="str" cm="1">
        <f t="array" ref="F2">_xlfn.IFS(E2&gt;=3.5,"A",E2&gt;=3,"B",E2&gt;=2.5,"C",E2&gt;=2,"D",E2&lt;2,"F")</f>
        <v>A</v>
      </c>
      <c r="G2" s="4" t="s">
        <v>14</v>
      </c>
      <c r="H2" s="4" t="s">
        <v>15</v>
      </c>
      <c r="I2" s="4" t="s">
        <v>16</v>
      </c>
      <c r="J2" s="4" t="s">
        <v>17</v>
      </c>
      <c r="K2" s="4" t="s">
        <v>17</v>
      </c>
      <c r="L2" s="4" t="s">
        <v>18</v>
      </c>
      <c r="M2">
        <f>COUNT(A2:A181)</f>
        <v>180</v>
      </c>
      <c r="N2" s="6">
        <f>AVERAGE(E2:E181)</f>
        <v>3.615000000000002</v>
      </c>
      <c r="O2" s="12">
        <f>COUNTIF(J2:J181, "Strong")/COUNTA(J2:J181)</f>
        <v>0.3888888888888889</v>
      </c>
    </row>
    <row r="3" spans="1:15" x14ac:dyDescent="0.35">
      <c r="A3" s="7">
        <v>2</v>
      </c>
      <c r="B3" s="4" t="s">
        <v>19</v>
      </c>
      <c r="C3" s="4" t="s">
        <v>20</v>
      </c>
      <c r="D3" s="7">
        <v>20</v>
      </c>
      <c r="E3" s="6">
        <v>3.2</v>
      </c>
      <c r="F3" s="6" t="str" cm="1">
        <f t="array" ref="F3">_xlfn.IFS(E3&gt;=3.5,"A",E3&gt;=3,"B",E3&gt;=2.5,"C",E3&gt;=2,"D",E3&lt;2,"F")</f>
        <v>B</v>
      </c>
      <c r="G3" s="4" t="s">
        <v>21</v>
      </c>
      <c r="H3" s="4" t="s">
        <v>22</v>
      </c>
      <c r="I3" s="4" t="s">
        <v>23</v>
      </c>
      <c r="J3" s="4" t="s">
        <v>24</v>
      </c>
      <c r="K3" s="4" t="s">
        <v>17</v>
      </c>
      <c r="L3" s="4" t="s">
        <v>18</v>
      </c>
    </row>
    <row r="4" spans="1:15" x14ac:dyDescent="0.35">
      <c r="A4" s="7">
        <v>3</v>
      </c>
      <c r="B4" s="4" t="s">
        <v>25</v>
      </c>
      <c r="C4" s="4" t="s">
        <v>12</v>
      </c>
      <c r="D4" s="7">
        <v>22</v>
      </c>
      <c r="E4" s="6">
        <v>3.8</v>
      </c>
      <c r="F4" s="6" t="str" cm="1">
        <f t="array" ref="F4">_xlfn.IFS(E4&gt;=3.5,"A",E4&gt;=3,"B",E4&gt;=2.5,"C",E4&gt;=2,"D",E4&lt;2,"F")</f>
        <v>A</v>
      </c>
      <c r="G4" s="4" t="s">
        <v>26</v>
      </c>
      <c r="H4" s="4" t="s">
        <v>27</v>
      </c>
      <c r="I4" s="4" t="s">
        <v>28</v>
      </c>
      <c r="J4" s="4" t="s">
        <v>17</v>
      </c>
      <c r="K4" s="4" t="s">
        <v>17</v>
      </c>
      <c r="L4" s="4" t="s">
        <v>24</v>
      </c>
    </row>
    <row r="5" spans="1:15" x14ac:dyDescent="0.35">
      <c r="A5" s="7">
        <v>4</v>
      </c>
      <c r="B5" s="4" t="s">
        <v>29</v>
      </c>
      <c r="C5" s="4" t="s">
        <v>20</v>
      </c>
      <c r="D5" s="7">
        <v>21</v>
      </c>
      <c r="E5" s="6">
        <v>3.7</v>
      </c>
      <c r="F5" s="6" t="str" cm="1">
        <f t="array" ref="F5">_xlfn.IFS(E5&gt;=3.5,"A",E5&gt;=3,"B",E5&gt;=2.5,"C",E5&gt;=2,"D",E5&lt;2,"F")</f>
        <v>A</v>
      </c>
      <c r="G5" s="4" t="s">
        <v>30</v>
      </c>
      <c r="H5" s="4" t="s">
        <v>31</v>
      </c>
      <c r="I5" s="4" t="s">
        <v>32</v>
      </c>
      <c r="J5" s="4" t="s">
        <v>18</v>
      </c>
      <c r="K5" s="4" t="s">
        <v>17</v>
      </c>
      <c r="L5" s="4" t="s">
        <v>17</v>
      </c>
    </row>
    <row r="6" spans="1:15" x14ac:dyDescent="0.35">
      <c r="A6" s="7">
        <v>5</v>
      </c>
      <c r="B6" s="4" t="s">
        <v>33</v>
      </c>
      <c r="C6" s="4" t="s">
        <v>12</v>
      </c>
      <c r="D6" s="7">
        <v>23</v>
      </c>
      <c r="E6" s="6">
        <v>3.4</v>
      </c>
      <c r="F6" s="6" t="str" cm="1">
        <f t="array" ref="F6">_xlfn.IFS(E6&gt;=3.5,"A",E6&gt;=3,"B",E6&gt;=2.5,"C",E6&gt;=2,"D",E6&lt;2,"F")</f>
        <v>B</v>
      </c>
      <c r="G6" s="4" t="s">
        <v>34</v>
      </c>
      <c r="H6" s="4" t="s">
        <v>35</v>
      </c>
      <c r="I6" s="4" t="s">
        <v>36</v>
      </c>
      <c r="J6" s="4" t="s">
        <v>24</v>
      </c>
      <c r="K6" s="4" t="s">
        <v>18</v>
      </c>
      <c r="L6" s="4" t="s">
        <v>17</v>
      </c>
    </row>
    <row r="7" spans="1:15" x14ac:dyDescent="0.35">
      <c r="A7" s="7">
        <v>6</v>
      </c>
      <c r="B7" s="4" t="s">
        <v>37</v>
      </c>
      <c r="C7" s="4" t="s">
        <v>20</v>
      </c>
      <c r="D7" s="7">
        <v>22</v>
      </c>
      <c r="E7" s="6">
        <v>3.9</v>
      </c>
      <c r="F7" s="6" t="str" cm="1">
        <f t="array" ref="F7">_xlfn.IFS(E7&gt;=3.5,"A",E7&gt;=3,"B",E7&gt;=2.5,"C",E7&gt;=2,"D",E7&lt;2,"F")</f>
        <v>A</v>
      </c>
      <c r="G7" s="4" t="s">
        <v>38</v>
      </c>
      <c r="H7" s="4" t="s">
        <v>39</v>
      </c>
      <c r="I7" s="4" t="s">
        <v>40</v>
      </c>
      <c r="J7" s="4" t="s">
        <v>17</v>
      </c>
      <c r="K7" s="4" t="s">
        <v>24</v>
      </c>
      <c r="L7" s="4" t="s">
        <v>18</v>
      </c>
      <c r="M7" s="4"/>
    </row>
    <row r="8" spans="1:15" x14ac:dyDescent="0.35">
      <c r="A8" s="7">
        <v>7</v>
      </c>
      <c r="B8" s="4" t="s">
        <v>41</v>
      </c>
      <c r="C8" s="4" t="s">
        <v>12</v>
      </c>
      <c r="D8" s="7">
        <v>20</v>
      </c>
      <c r="E8" s="6">
        <v>3.6</v>
      </c>
      <c r="F8" s="6" t="str" cm="1">
        <f t="array" ref="F8">_xlfn.IFS(E8&gt;=3.5,"A",E8&gt;=3,"B",E8&gt;=2.5,"C",E8&gt;=2,"D",E8&lt;2,"F")</f>
        <v>A</v>
      </c>
      <c r="G8" s="4" t="s">
        <v>42</v>
      </c>
      <c r="H8" s="4" t="s">
        <v>43</v>
      </c>
      <c r="I8" s="4" t="s">
        <v>44</v>
      </c>
      <c r="J8" s="4" t="s">
        <v>24</v>
      </c>
      <c r="K8" s="4" t="s">
        <v>17</v>
      </c>
      <c r="L8" s="4" t="s">
        <v>18</v>
      </c>
    </row>
    <row r="9" spans="1:15" x14ac:dyDescent="0.35">
      <c r="A9" s="7">
        <v>8</v>
      </c>
      <c r="B9" s="4" t="s">
        <v>45</v>
      </c>
      <c r="C9" s="4" t="s">
        <v>20</v>
      </c>
      <c r="D9" s="7">
        <v>21</v>
      </c>
      <c r="E9" s="6">
        <v>3.7</v>
      </c>
      <c r="F9" s="6" t="str" cm="1">
        <f t="array" ref="F9">_xlfn.IFS(E9&gt;=3.5,"A",E9&gt;=3,"B",E9&gt;=2.5,"C",E9&gt;=2,"D",E9&lt;2,"F")</f>
        <v>A</v>
      </c>
      <c r="G9" s="4" t="s">
        <v>46</v>
      </c>
      <c r="H9" s="4" t="s">
        <v>47</v>
      </c>
      <c r="I9" s="4" t="s">
        <v>48</v>
      </c>
      <c r="J9" s="4" t="s">
        <v>18</v>
      </c>
      <c r="K9" s="4" t="s">
        <v>17</v>
      </c>
      <c r="L9" s="4" t="s">
        <v>24</v>
      </c>
      <c r="M9" s="4"/>
    </row>
    <row r="10" spans="1:15" x14ac:dyDescent="0.35">
      <c r="A10" s="7">
        <v>9</v>
      </c>
      <c r="B10" s="4" t="s">
        <v>49</v>
      </c>
      <c r="C10" s="4" t="s">
        <v>12</v>
      </c>
      <c r="D10" s="7">
        <v>23</v>
      </c>
      <c r="E10" s="6">
        <v>3.3</v>
      </c>
      <c r="F10" s="6" t="str" cm="1">
        <f t="array" ref="F10">_xlfn.IFS(E10&gt;=3.5,"A",E10&gt;=3,"B",E10&gt;=2.5,"C",E10&gt;=2,"D",E10&lt;2,"F")</f>
        <v>B</v>
      </c>
      <c r="G10" s="4" t="s">
        <v>50</v>
      </c>
      <c r="H10" s="4" t="s">
        <v>51</v>
      </c>
      <c r="I10" s="4" t="s">
        <v>52</v>
      </c>
      <c r="J10" s="4" t="s">
        <v>24</v>
      </c>
      <c r="K10" s="4" t="s">
        <v>18</v>
      </c>
      <c r="L10" s="4" t="s">
        <v>17</v>
      </c>
    </row>
    <row r="11" spans="1:15" x14ac:dyDescent="0.35">
      <c r="A11" s="7">
        <v>10</v>
      </c>
      <c r="B11" s="4" t="s">
        <v>53</v>
      </c>
      <c r="C11" s="4" t="s">
        <v>20</v>
      </c>
      <c r="D11" s="7">
        <v>22</v>
      </c>
      <c r="E11" s="6">
        <v>3.5</v>
      </c>
      <c r="F11" s="6" t="str" cm="1">
        <f t="array" ref="F11">_xlfn.IFS(E11&gt;=3.5,"A",E11&gt;=3,"B",E11&gt;=2.5,"C",E11&gt;=2,"D",E11&lt;2,"F")</f>
        <v>A</v>
      </c>
      <c r="G11" s="4" t="s">
        <v>54</v>
      </c>
      <c r="H11" s="4" t="s">
        <v>55</v>
      </c>
      <c r="I11" s="4" t="s">
        <v>56</v>
      </c>
      <c r="J11" s="4" t="s">
        <v>18</v>
      </c>
      <c r="K11" s="4" t="s">
        <v>24</v>
      </c>
      <c r="L11" s="4" t="s">
        <v>17</v>
      </c>
    </row>
    <row r="12" spans="1:15" x14ac:dyDescent="0.35">
      <c r="A12" s="7">
        <v>11</v>
      </c>
      <c r="B12" s="4" t="s">
        <v>57</v>
      </c>
      <c r="C12" s="4" t="s">
        <v>12</v>
      </c>
      <c r="D12" s="7">
        <v>21</v>
      </c>
      <c r="E12" s="6">
        <v>3.8</v>
      </c>
      <c r="F12" s="6" t="str" cm="1">
        <f t="array" ref="F12">_xlfn.IFS(E12&gt;=3.5,"A",E12&gt;=3,"B",E12&gt;=2.5,"C",E12&gt;=2,"D",E12&lt;2,"F")</f>
        <v>A</v>
      </c>
      <c r="G12" s="4" t="s">
        <v>14</v>
      </c>
      <c r="H12" s="4" t="s">
        <v>58</v>
      </c>
      <c r="I12" s="4" t="s">
        <v>59</v>
      </c>
      <c r="J12" s="4" t="s">
        <v>17</v>
      </c>
      <c r="K12" s="4" t="s">
        <v>24</v>
      </c>
      <c r="L12" s="4" t="s">
        <v>18</v>
      </c>
    </row>
    <row r="13" spans="1:15" x14ac:dyDescent="0.35">
      <c r="A13" s="7">
        <v>12</v>
      </c>
      <c r="B13" s="4" t="s">
        <v>60</v>
      </c>
      <c r="C13" s="4" t="s">
        <v>12</v>
      </c>
      <c r="D13" s="7">
        <v>22</v>
      </c>
      <c r="E13" s="6">
        <v>3.7</v>
      </c>
      <c r="F13" s="6" t="str" cm="1">
        <f t="array" ref="F13">_xlfn.IFS(E13&gt;=3.5,"A",E13&gt;=3,"B",E13&gt;=2.5,"C",E13&gt;=2,"D",E13&lt;2,"F")</f>
        <v>A</v>
      </c>
      <c r="G13" s="4" t="s">
        <v>30</v>
      </c>
      <c r="H13" s="4" t="s">
        <v>31</v>
      </c>
      <c r="I13" s="4" t="s">
        <v>32</v>
      </c>
      <c r="J13" s="4" t="s">
        <v>17</v>
      </c>
      <c r="K13" s="4" t="s">
        <v>17</v>
      </c>
      <c r="L13" s="4" t="s">
        <v>24</v>
      </c>
    </row>
    <row r="14" spans="1:15" x14ac:dyDescent="0.35">
      <c r="A14" s="7">
        <v>13</v>
      </c>
      <c r="B14" s="4" t="s">
        <v>61</v>
      </c>
      <c r="C14" s="4" t="s">
        <v>20</v>
      </c>
      <c r="D14" s="7">
        <v>21</v>
      </c>
      <c r="E14" s="6">
        <v>3.3</v>
      </c>
      <c r="F14" s="6" t="str" cm="1">
        <f t="array" ref="F14">_xlfn.IFS(E14&gt;=3.5,"A",E14&gt;=3,"B",E14&gt;=2.5,"C",E14&gt;=2,"D",E14&lt;2,"F")</f>
        <v>B</v>
      </c>
      <c r="G14" s="4" t="s">
        <v>50</v>
      </c>
      <c r="H14" s="4" t="s">
        <v>62</v>
      </c>
      <c r="I14" s="4" t="s">
        <v>52</v>
      </c>
      <c r="J14" s="4" t="s">
        <v>24</v>
      </c>
      <c r="K14" s="4" t="s">
        <v>18</v>
      </c>
      <c r="L14" s="4" t="s">
        <v>17</v>
      </c>
    </row>
    <row r="15" spans="1:15" x14ac:dyDescent="0.35">
      <c r="A15" s="7">
        <v>14</v>
      </c>
      <c r="B15" s="4" t="s">
        <v>63</v>
      </c>
      <c r="C15" s="4" t="s">
        <v>12</v>
      </c>
      <c r="D15" s="7">
        <v>23</v>
      </c>
      <c r="E15" s="6">
        <v>3.5</v>
      </c>
      <c r="F15" s="6" t="str" cm="1">
        <f t="array" ref="F15">_xlfn.IFS(E15&gt;=3.5,"A",E15&gt;=3,"B",E15&gt;=2.5,"C",E15&gt;=2,"D",E15&lt;2,"F")</f>
        <v>A</v>
      </c>
      <c r="G15" s="4" t="s">
        <v>54</v>
      </c>
      <c r="H15" s="4" t="s">
        <v>64</v>
      </c>
      <c r="I15" s="4" t="s">
        <v>65</v>
      </c>
      <c r="J15" s="4" t="s">
        <v>18</v>
      </c>
      <c r="K15" s="4" t="s">
        <v>24</v>
      </c>
      <c r="L15" s="4" t="s">
        <v>17</v>
      </c>
    </row>
    <row r="16" spans="1:15" x14ac:dyDescent="0.35">
      <c r="A16" s="7">
        <v>15</v>
      </c>
      <c r="B16" s="4" t="s">
        <v>66</v>
      </c>
      <c r="C16" s="4" t="s">
        <v>20</v>
      </c>
      <c r="D16" s="7">
        <v>22</v>
      </c>
      <c r="E16" s="6">
        <v>3.8</v>
      </c>
      <c r="F16" s="6" t="str" cm="1">
        <f t="array" ref="F16">_xlfn.IFS(E16&gt;=3.5,"A",E16&gt;=3,"B",E16&gt;=2.5,"C",E16&gt;=2,"D",E16&lt;2,"F")</f>
        <v>A</v>
      </c>
      <c r="G16" s="4" t="s">
        <v>67</v>
      </c>
      <c r="H16" s="4" t="s">
        <v>27</v>
      </c>
      <c r="I16" s="4" t="s">
        <v>28</v>
      </c>
      <c r="J16" s="4" t="s">
        <v>17</v>
      </c>
      <c r="K16" s="4" t="s">
        <v>17</v>
      </c>
      <c r="L16" s="4" t="s">
        <v>24</v>
      </c>
    </row>
    <row r="17" spans="1:12" x14ac:dyDescent="0.35">
      <c r="A17" s="7">
        <v>16</v>
      </c>
      <c r="B17" s="4" t="s">
        <v>68</v>
      </c>
      <c r="C17" s="4" t="s">
        <v>12</v>
      </c>
      <c r="D17" s="7">
        <v>20</v>
      </c>
      <c r="E17" s="6">
        <v>3.6</v>
      </c>
      <c r="F17" s="6" t="str" cm="1">
        <f t="array" ref="F17">_xlfn.IFS(E17&gt;=3.5,"A",E17&gt;=3,"B",E17&gt;=2.5,"C",E17&gt;=2,"D",E17&lt;2,"F")</f>
        <v>A</v>
      </c>
      <c r="G17" s="4" t="s">
        <v>34</v>
      </c>
      <c r="H17" s="4" t="s">
        <v>35</v>
      </c>
      <c r="I17" s="4" t="s">
        <v>36</v>
      </c>
      <c r="J17" s="4" t="s">
        <v>24</v>
      </c>
      <c r="K17" s="4" t="s">
        <v>18</v>
      </c>
      <c r="L17" s="4" t="s">
        <v>17</v>
      </c>
    </row>
    <row r="18" spans="1:12" x14ac:dyDescent="0.35">
      <c r="A18" s="7">
        <v>17</v>
      </c>
      <c r="B18" s="4" t="s">
        <v>37</v>
      </c>
      <c r="C18" s="4" t="s">
        <v>20</v>
      </c>
      <c r="D18" s="7">
        <v>21</v>
      </c>
      <c r="E18" s="6">
        <v>3.9</v>
      </c>
      <c r="F18" s="6" t="str" cm="1">
        <f t="array" ref="F18">_xlfn.IFS(E18&gt;=3.5,"A",E18&gt;=3,"B",E18&gt;=2.5,"C",E18&gt;=2,"D",E18&lt;2,"F")</f>
        <v>A</v>
      </c>
      <c r="G18" s="4" t="s">
        <v>38</v>
      </c>
      <c r="H18" s="4" t="s">
        <v>39</v>
      </c>
      <c r="I18" s="4" t="s">
        <v>40</v>
      </c>
      <c r="J18" s="4" t="s">
        <v>17</v>
      </c>
      <c r="K18" s="4" t="s">
        <v>24</v>
      </c>
      <c r="L18" s="4" t="s">
        <v>18</v>
      </c>
    </row>
    <row r="19" spans="1:12" x14ac:dyDescent="0.35">
      <c r="A19" s="7">
        <v>18</v>
      </c>
      <c r="B19" s="4" t="s">
        <v>41</v>
      </c>
      <c r="C19" s="4" t="s">
        <v>12</v>
      </c>
      <c r="D19" s="7">
        <v>23</v>
      </c>
      <c r="E19" s="6">
        <v>3.6</v>
      </c>
      <c r="F19" s="6" t="str" cm="1">
        <f t="array" ref="F19">_xlfn.IFS(E19&gt;=3.5,"A",E19&gt;=3,"B",E19&gt;=2.5,"C",E19&gt;=2,"D",E19&lt;2,"F")</f>
        <v>A</v>
      </c>
      <c r="G19" s="4" t="s">
        <v>42</v>
      </c>
      <c r="H19" s="4" t="s">
        <v>43</v>
      </c>
      <c r="I19" s="4" t="s">
        <v>44</v>
      </c>
      <c r="J19" s="4" t="s">
        <v>24</v>
      </c>
      <c r="K19" s="4" t="s">
        <v>17</v>
      </c>
      <c r="L19" s="4" t="s">
        <v>18</v>
      </c>
    </row>
    <row r="20" spans="1:12" x14ac:dyDescent="0.35">
      <c r="A20" s="7">
        <v>19</v>
      </c>
      <c r="B20" s="4" t="s">
        <v>45</v>
      </c>
      <c r="C20" s="4" t="s">
        <v>20</v>
      </c>
      <c r="D20" s="7">
        <v>22</v>
      </c>
      <c r="E20" s="6">
        <v>3.7</v>
      </c>
      <c r="F20" s="6" t="str" cm="1">
        <f t="array" ref="F20">_xlfn.IFS(E20&gt;=3.5,"A",E20&gt;=3,"B",E20&gt;=2.5,"C",E20&gt;=2,"D",E20&lt;2,"F")</f>
        <v>A</v>
      </c>
      <c r="G20" s="4" t="s">
        <v>46</v>
      </c>
      <c r="H20" s="4" t="s">
        <v>47</v>
      </c>
      <c r="I20" s="4" t="s">
        <v>48</v>
      </c>
      <c r="J20" s="4" t="s">
        <v>18</v>
      </c>
      <c r="K20" s="4" t="s">
        <v>17</v>
      </c>
      <c r="L20" s="4" t="s">
        <v>24</v>
      </c>
    </row>
    <row r="21" spans="1:12" x14ac:dyDescent="0.35">
      <c r="A21" s="7">
        <v>20</v>
      </c>
      <c r="B21" s="4" t="s">
        <v>49</v>
      </c>
      <c r="C21" s="4" t="s">
        <v>12</v>
      </c>
      <c r="D21" s="7">
        <v>20</v>
      </c>
      <c r="E21" s="6">
        <v>3.3</v>
      </c>
      <c r="F21" s="6" t="str" cm="1">
        <f t="array" ref="F21">_xlfn.IFS(E21&gt;=3.5,"A",E21&gt;=3,"B",E21&gt;=2.5,"C",E21&gt;=2,"D",E21&lt;2,"F")</f>
        <v>B</v>
      </c>
      <c r="G21" s="4" t="s">
        <v>50</v>
      </c>
      <c r="H21" s="4" t="s">
        <v>51</v>
      </c>
      <c r="I21" s="4" t="s">
        <v>52</v>
      </c>
      <c r="J21" s="4" t="s">
        <v>24</v>
      </c>
      <c r="K21" s="4" t="s">
        <v>18</v>
      </c>
      <c r="L21" s="4" t="s">
        <v>17</v>
      </c>
    </row>
    <row r="22" spans="1:12" x14ac:dyDescent="0.35">
      <c r="A22" s="7">
        <v>21</v>
      </c>
      <c r="B22" s="4" t="s">
        <v>53</v>
      </c>
      <c r="C22" s="4" t="s">
        <v>20</v>
      </c>
      <c r="D22" s="7">
        <v>21</v>
      </c>
      <c r="E22" s="6">
        <v>3.5</v>
      </c>
      <c r="F22" s="6" t="str" cm="1">
        <f t="array" ref="F22">_xlfn.IFS(E22&gt;=3.5,"A",E22&gt;=3,"B",E22&gt;=2.5,"C",E22&gt;=2,"D",E22&lt;2,"F")</f>
        <v>A</v>
      </c>
      <c r="G22" s="4" t="s">
        <v>54</v>
      </c>
      <c r="H22" s="4" t="s">
        <v>55</v>
      </c>
      <c r="I22" s="4" t="s">
        <v>56</v>
      </c>
      <c r="J22" s="4" t="s">
        <v>18</v>
      </c>
      <c r="K22" s="4" t="s">
        <v>24</v>
      </c>
      <c r="L22" s="4" t="s">
        <v>17</v>
      </c>
    </row>
    <row r="23" spans="1:12" x14ac:dyDescent="0.35">
      <c r="A23" s="7">
        <v>22</v>
      </c>
      <c r="B23" s="4" t="s">
        <v>57</v>
      </c>
      <c r="C23" s="4" t="s">
        <v>12</v>
      </c>
      <c r="D23" s="7">
        <v>23</v>
      </c>
      <c r="E23" s="6">
        <v>3.8</v>
      </c>
      <c r="F23" s="6" t="str" cm="1">
        <f t="array" ref="F23">_xlfn.IFS(E23&gt;=3.5,"A",E23&gt;=3,"B",E23&gt;=2.5,"C",E23&gt;=2,"D",E23&lt;2,"F")</f>
        <v>A</v>
      </c>
      <c r="G23" s="4" t="s">
        <v>14</v>
      </c>
      <c r="H23" s="4" t="s">
        <v>58</v>
      </c>
      <c r="I23" s="4" t="s">
        <v>59</v>
      </c>
      <c r="J23" s="4" t="s">
        <v>17</v>
      </c>
      <c r="K23" s="4" t="s">
        <v>24</v>
      </c>
      <c r="L23" s="4" t="s">
        <v>18</v>
      </c>
    </row>
    <row r="24" spans="1:12" x14ac:dyDescent="0.35">
      <c r="A24" s="7">
        <v>23</v>
      </c>
      <c r="B24" s="4" t="s">
        <v>60</v>
      </c>
      <c r="C24" s="4" t="s">
        <v>12</v>
      </c>
      <c r="D24" s="7">
        <v>22</v>
      </c>
      <c r="E24" s="6">
        <v>3.7</v>
      </c>
      <c r="F24" s="6" t="str" cm="1">
        <f t="array" ref="F24">_xlfn.IFS(E24&gt;=3.5,"A",E24&gt;=3,"B",E24&gt;=2.5,"C",E24&gt;=2,"D",E24&lt;2,"F")</f>
        <v>A</v>
      </c>
      <c r="G24" s="4" t="s">
        <v>30</v>
      </c>
      <c r="H24" s="4" t="s">
        <v>31</v>
      </c>
      <c r="I24" s="4" t="s">
        <v>32</v>
      </c>
      <c r="J24" s="4" t="s">
        <v>17</v>
      </c>
      <c r="K24" s="4" t="s">
        <v>17</v>
      </c>
      <c r="L24" s="4" t="s">
        <v>24</v>
      </c>
    </row>
    <row r="25" spans="1:12" x14ac:dyDescent="0.35">
      <c r="A25" s="7">
        <v>24</v>
      </c>
      <c r="B25" s="4" t="s">
        <v>61</v>
      </c>
      <c r="C25" s="4" t="s">
        <v>20</v>
      </c>
      <c r="D25" s="7">
        <v>21</v>
      </c>
      <c r="E25" s="6">
        <v>3.3</v>
      </c>
      <c r="F25" s="6" t="str" cm="1">
        <f t="array" ref="F25">_xlfn.IFS(E25&gt;=3.5,"A",E25&gt;=3,"B",E25&gt;=2.5,"C",E25&gt;=2,"D",E25&lt;2,"F")</f>
        <v>B</v>
      </c>
      <c r="G25" s="4" t="s">
        <v>50</v>
      </c>
      <c r="H25" s="4" t="s">
        <v>62</v>
      </c>
      <c r="I25" s="4" t="s">
        <v>52</v>
      </c>
      <c r="J25" s="4" t="s">
        <v>24</v>
      </c>
      <c r="K25" s="4" t="s">
        <v>18</v>
      </c>
      <c r="L25" s="4" t="s">
        <v>17</v>
      </c>
    </row>
    <row r="26" spans="1:12" x14ac:dyDescent="0.35">
      <c r="A26" s="7">
        <v>25</v>
      </c>
      <c r="B26" s="4" t="s">
        <v>63</v>
      </c>
      <c r="C26" s="4" t="s">
        <v>12</v>
      </c>
      <c r="D26" s="7">
        <v>23</v>
      </c>
      <c r="E26" s="6">
        <v>3.5</v>
      </c>
      <c r="F26" s="6" t="str" cm="1">
        <f t="array" ref="F26">_xlfn.IFS(E26&gt;=3.5,"A",E26&gt;=3,"B",E26&gt;=2.5,"C",E26&gt;=2,"D",E26&lt;2,"F")</f>
        <v>A</v>
      </c>
      <c r="G26" s="4" t="s">
        <v>54</v>
      </c>
      <c r="H26" s="4" t="s">
        <v>64</v>
      </c>
      <c r="I26" s="4" t="s">
        <v>65</v>
      </c>
      <c r="J26" s="4" t="s">
        <v>18</v>
      </c>
      <c r="K26" s="4" t="s">
        <v>24</v>
      </c>
      <c r="L26" s="4" t="s">
        <v>17</v>
      </c>
    </row>
    <row r="27" spans="1:12" x14ac:dyDescent="0.35">
      <c r="A27" s="7">
        <v>26</v>
      </c>
      <c r="B27" s="4" t="s">
        <v>66</v>
      </c>
      <c r="C27" s="4" t="s">
        <v>20</v>
      </c>
      <c r="D27" s="7">
        <v>22</v>
      </c>
      <c r="E27" s="6">
        <v>3.8</v>
      </c>
      <c r="F27" s="6" t="str" cm="1">
        <f t="array" ref="F27">_xlfn.IFS(E27&gt;=3.5,"A",E27&gt;=3,"B",E27&gt;=2.5,"C",E27&gt;=2,"D",E27&lt;2,"F")</f>
        <v>A</v>
      </c>
      <c r="G27" s="4" t="s">
        <v>67</v>
      </c>
      <c r="H27" s="4" t="s">
        <v>27</v>
      </c>
      <c r="I27" s="4" t="s">
        <v>28</v>
      </c>
      <c r="J27" s="4" t="s">
        <v>17</v>
      </c>
      <c r="K27" s="4" t="s">
        <v>17</v>
      </c>
      <c r="L27" s="4" t="s">
        <v>24</v>
      </c>
    </row>
    <row r="28" spans="1:12" x14ac:dyDescent="0.35">
      <c r="A28" s="7">
        <v>27</v>
      </c>
      <c r="B28" s="4" t="s">
        <v>68</v>
      </c>
      <c r="C28" s="4" t="s">
        <v>12</v>
      </c>
      <c r="D28" s="7">
        <v>20</v>
      </c>
      <c r="E28" s="6">
        <v>3.6</v>
      </c>
      <c r="F28" s="6" t="str" cm="1">
        <f t="array" ref="F28">_xlfn.IFS(E28&gt;=3.5,"A",E28&gt;=3,"B",E28&gt;=2.5,"C",E28&gt;=2,"D",E28&lt;2,"F")</f>
        <v>A</v>
      </c>
      <c r="G28" s="4" t="s">
        <v>34</v>
      </c>
      <c r="H28" s="4" t="s">
        <v>35</v>
      </c>
      <c r="I28" s="4" t="s">
        <v>36</v>
      </c>
      <c r="J28" s="4" t="s">
        <v>24</v>
      </c>
      <c r="K28" s="4" t="s">
        <v>18</v>
      </c>
      <c r="L28" s="4" t="s">
        <v>17</v>
      </c>
    </row>
    <row r="29" spans="1:12" x14ac:dyDescent="0.35">
      <c r="A29" s="7">
        <v>28</v>
      </c>
      <c r="B29" s="4" t="s">
        <v>37</v>
      </c>
      <c r="C29" s="4" t="s">
        <v>20</v>
      </c>
      <c r="D29" s="7">
        <v>21</v>
      </c>
      <c r="E29" s="6">
        <v>3.9</v>
      </c>
      <c r="F29" s="6" t="str" cm="1">
        <f t="array" ref="F29">_xlfn.IFS(E29&gt;=3.5,"A",E29&gt;=3,"B",E29&gt;=2.5,"C",E29&gt;=2,"D",E29&lt;2,"F")</f>
        <v>A</v>
      </c>
      <c r="G29" s="4" t="s">
        <v>38</v>
      </c>
      <c r="H29" s="4" t="s">
        <v>39</v>
      </c>
      <c r="I29" s="4" t="s">
        <v>40</v>
      </c>
      <c r="J29" s="4" t="s">
        <v>17</v>
      </c>
      <c r="K29" s="4" t="s">
        <v>24</v>
      </c>
      <c r="L29" s="4" t="s">
        <v>18</v>
      </c>
    </row>
    <row r="30" spans="1:12" x14ac:dyDescent="0.35">
      <c r="A30" s="7">
        <v>29</v>
      </c>
      <c r="B30" s="4" t="s">
        <v>41</v>
      </c>
      <c r="C30" s="4" t="s">
        <v>12</v>
      </c>
      <c r="D30" s="7">
        <v>23</v>
      </c>
      <c r="E30" s="6">
        <v>3.6</v>
      </c>
      <c r="F30" s="6" t="str" cm="1">
        <f t="array" ref="F30">_xlfn.IFS(E30&gt;=3.5,"A",E30&gt;=3,"B",E30&gt;=2.5,"C",E30&gt;=2,"D",E30&lt;2,"F")</f>
        <v>A</v>
      </c>
      <c r="G30" s="4" t="s">
        <v>42</v>
      </c>
      <c r="H30" s="4" t="s">
        <v>43</v>
      </c>
      <c r="I30" s="4" t="s">
        <v>44</v>
      </c>
      <c r="J30" s="4" t="s">
        <v>24</v>
      </c>
      <c r="K30" s="4" t="s">
        <v>17</v>
      </c>
      <c r="L30" s="4" t="s">
        <v>18</v>
      </c>
    </row>
    <row r="31" spans="1:12" x14ac:dyDescent="0.35">
      <c r="A31" s="7">
        <v>30</v>
      </c>
      <c r="B31" s="4" t="s">
        <v>45</v>
      </c>
      <c r="C31" s="4" t="s">
        <v>20</v>
      </c>
      <c r="D31" s="7">
        <v>22</v>
      </c>
      <c r="E31" s="6">
        <v>3.7</v>
      </c>
      <c r="F31" s="6" t="str" cm="1">
        <f t="array" ref="F31">_xlfn.IFS(E31&gt;=3.5,"A",E31&gt;=3,"B",E31&gt;=2.5,"C",E31&gt;=2,"D",E31&lt;2,"F")</f>
        <v>A</v>
      </c>
      <c r="G31" s="4" t="s">
        <v>46</v>
      </c>
      <c r="H31" s="4" t="s">
        <v>47</v>
      </c>
      <c r="I31" s="4" t="s">
        <v>48</v>
      </c>
      <c r="J31" s="4" t="s">
        <v>18</v>
      </c>
      <c r="K31" s="4" t="s">
        <v>17</v>
      </c>
      <c r="L31" s="4" t="s">
        <v>24</v>
      </c>
    </row>
    <row r="32" spans="1:12" x14ac:dyDescent="0.35">
      <c r="A32" s="7">
        <v>31</v>
      </c>
      <c r="B32" s="4" t="s">
        <v>49</v>
      </c>
      <c r="C32" s="4" t="s">
        <v>12</v>
      </c>
      <c r="D32" s="7">
        <v>20</v>
      </c>
      <c r="E32" s="6">
        <v>3.3</v>
      </c>
      <c r="F32" s="6" t="str" cm="1">
        <f t="array" ref="F32">_xlfn.IFS(E32&gt;=3.5,"A",E32&gt;=3,"B",E32&gt;=2.5,"C",E32&gt;=2,"D",E32&lt;2,"F")</f>
        <v>B</v>
      </c>
      <c r="G32" s="4" t="s">
        <v>50</v>
      </c>
      <c r="H32" s="4" t="s">
        <v>51</v>
      </c>
      <c r="I32" s="4" t="s">
        <v>52</v>
      </c>
      <c r="J32" s="4" t="s">
        <v>24</v>
      </c>
      <c r="K32" s="4" t="s">
        <v>18</v>
      </c>
      <c r="L32" s="4" t="s">
        <v>17</v>
      </c>
    </row>
    <row r="33" spans="1:12" x14ac:dyDescent="0.35">
      <c r="A33" s="7">
        <v>32</v>
      </c>
      <c r="B33" s="4" t="s">
        <v>53</v>
      </c>
      <c r="C33" s="4" t="s">
        <v>20</v>
      </c>
      <c r="D33" s="7">
        <v>21</v>
      </c>
      <c r="E33" s="6">
        <v>3.5</v>
      </c>
      <c r="F33" s="6" t="str" cm="1">
        <f t="array" ref="F33">_xlfn.IFS(E33&gt;=3.5,"A",E33&gt;=3,"B",E33&gt;=2.5,"C",E33&gt;=2,"D",E33&lt;2,"F")</f>
        <v>A</v>
      </c>
      <c r="G33" s="4" t="s">
        <v>54</v>
      </c>
      <c r="H33" s="4" t="s">
        <v>55</v>
      </c>
      <c r="I33" s="4" t="s">
        <v>56</v>
      </c>
      <c r="J33" s="4" t="s">
        <v>18</v>
      </c>
      <c r="K33" s="4" t="s">
        <v>24</v>
      </c>
      <c r="L33" s="4" t="s">
        <v>17</v>
      </c>
    </row>
    <row r="34" spans="1:12" x14ac:dyDescent="0.35">
      <c r="A34" s="7">
        <v>33</v>
      </c>
      <c r="B34" s="4" t="s">
        <v>57</v>
      </c>
      <c r="C34" s="4" t="s">
        <v>12</v>
      </c>
      <c r="D34" s="7">
        <v>23</v>
      </c>
      <c r="E34" s="6">
        <v>3.8</v>
      </c>
      <c r="F34" s="6" t="str" cm="1">
        <f t="array" ref="F34">_xlfn.IFS(E34&gt;=3.5,"A",E34&gt;=3,"B",E34&gt;=2.5,"C",E34&gt;=2,"D",E34&lt;2,"F")</f>
        <v>A</v>
      </c>
      <c r="G34" s="4" t="s">
        <v>14</v>
      </c>
      <c r="H34" s="4" t="s">
        <v>58</v>
      </c>
      <c r="I34" s="4" t="s">
        <v>59</v>
      </c>
      <c r="J34" s="4" t="s">
        <v>17</v>
      </c>
      <c r="K34" s="4" t="s">
        <v>24</v>
      </c>
      <c r="L34" s="4" t="s">
        <v>18</v>
      </c>
    </row>
    <row r="35" spans="1:12" x14ac:dyDescent="0.35">
      <c r="A35" s="7">
        <v>34</v>
      </c>
      <c r="B35" s="4" t="s">
        <v>60</v>
      </c>
      <c r="C35" s="4" t="s">
        <v>12</v>
      </c>
      <c r="D35" s="7">
        <v>22</v>
      </c>
      <c r="E35" s="6">
        <v>3.7</v>
      </c>
      <c r="F35" s="6" t="str" cm="1">
        <f t="array" ref="F35">_xlfn.IFS(E35&gt;=3.5,"A",E35&gt;=3,"B",E35&gt;=2.5,"C",E35&gt;=2,"D",E35&lt;2,"F")</f>
        <v>A</v>
      </c>
      <c r="G35" s="4" t="s">
        <v>30</v>
      </c>
      <c r="H35" s="4" t="s">
        <v>31</v>
      </c>
      <c r="I35" s="4" t="s">
        <v>32</v>
      </c>
      <c r="J35" s="4" t="s">
        <v>17</v>
      </c>
      <c r="K35" s="4" t="s">
        <v>17</v>
      </c>
      <c r="L35" s="4" t="s">
        <v>24</v>
      </c>
    </row>
    <row r="36" spans="1:12" x14ac:dyDescent="0.35">
      <c r="A36" s="7">
        <v>35</v>
      </c>
      <c r="B36" s="4" t="s">
        <v>61</v>
      </c>
      <c r="C36" s="4" t="s">
        <v>20</v>
      </c>
      <c r="D36" s="7">
        <v>21</v>
      </c>
      <c r="E36" s="6">
        <v>3.3</v>
      </c>
      <c r="F36" s="6" t="str" cm="1">
        <f t="array" ref="F36">_xlfn.IFS(E36&gt;=3.5,"A",E36&gt;=3,"B",E36&gt;=2.5,"C",E36&gt;=2,"D",E36&lt;2,"F")</f>
        <v>B</v>
      </c>
      <c r="G36" s="4" t="s">
        <v>50</v>
      </c>
      <c r="H36" s="4" t="s">
        <v>62</v>
      </c>
      <c r="I36" s="4" t="s">
        <v>52</v>
      </c>
      <c r="J36" s="4" t="s">
        <v>24</v>
      </c>
      <c r="K36" s="4" t="s">
        <v>18</v>
      </c>
      <c r="L36" s="4" t="s">
        <v>17</v>
      </c>
    </row>
    <row r="37" spans="1:12" x14ac:dyDescent="0.35">
      <c r="A37" s="7">
        <v>36</v>
      </c>
      <c r="B37" s="4" t="s">
        <v>63</v>
      </c>
      <c r="C37" s="4" t="s">
        <v>12</v>
      </c>
      <c r="D37" s="7">
        <v>23</v>
      </c>
      <c r="E37" s="6">
        <v>3.5</v>
      </c>
      <c r="F37" s="6" t="str" cm="1">
        <f t="array" ref="F37">_xlfn.IFS(E37&gt;=3.5,"A",E37&gt;=3,"B",E37&gt;=2.5,"C",E37&gt;=2,"D",E37&lt;2,"F")</f>
        <v>A</v>
      </c>
      <c r="G37" s="4" t="s">
        <v>54</v>
      </c>
      <c r="H37" s="4" t="s">
        <v>64</v>
      </c>
      <c r="I37" s="4" t="s">
        <v>65</v>
      </c>
      <c r="J37" s="4" t="s">
        <v>18</v>
      </c>
      <c r="K37" s="4" t="s">
        <v>24</v>
      </c>
      <c r="L37" s="4" t="s">
        <v>17</v>
      </c>
    </row>
    <row r="38" spans="1:12" x14ac:dyDescent="0.35">
      <c r="A38" s="7">
        <v>37</v>
      </c>
      <c r="B38" s="4" t="s">
        <v>66</v>
      </c>
      <c r="C38" s="4" t="s">
        <v>20</v>
      </c>
      <c r="D38" s="7">
        <v>22</v>
      </c>
      <c r="E38" s="6">
        <v>3.8</v>
      </c>
      <c r="F38" s="6" t="str" cm="1">
        <f t="array" ref="F38">_xlfn.IFS(E38&gt;=3.5,"A",E38&gt;=3,"B",E38&gt;=2.5,"C",E38&gt;=2,"D",E38&lt;2,"F")</f>
        <v>A</v>
      </c>
      <c r="G38" s="4" t="s">
        <v>67</v>
      </c>
      <c r="H38" s="4" t="s">
        <v>27</v>
      </c>
      <c r="I38" s="4" t="s">
        <v>28</v>
      </c>
      <c r="J38" s="4" t="s">
        <v>17</v>
      </c>
      <c r="K38" s="4" t="s">
        <v>17</v>
      </c>
      <c r="L38" s="4" t="s">
        <v>24</v>
      </c>
    </row>
    <row r="39" spans="1:12" x14ac:dyDescent="0.35">
      <c r="A39" s="7">
        <v>38</v>
      </c>
      <c r="B39" s="4" t="s">
        <v>68</v>
      </c>
      <c r="C39" s="4" t="s">
        <v>12</v>
      </c>
      <c r="D39" s="7">
        <v>20</v>
      </c>
      <c r="E39" s="6">
        <v>3.6</v>
      </c>
      <c r="F39" s="6" t="str" cm="1">
        <f t="array" ref="F39">_xlfn.IFS(E39&gt;=3.5,"A",E39&gt;=3,"B",E39&gt;=2.5,"C",E39&gt;=2,"D",E39&lt;2,"F")</f>
        <v>A</v>
      </c>
      <c r="G39" s="4" t="s">
        <v>34</v>
      </c>
      <c r="H39" s="4" t="s">
        <v>35</v>
      </c>
      <c r="I39" s="4" t="s">
        <v>36</v>
      </c>
      <c r="J39" s="4" t="s">
        <v>24</v>
      </c>
      <c r="K39" s="4" t="s">
        <v>18</v>
      </c>
      <c r="L39" s="4" t="s">
        <v>17</v>
      </c>
    </row>
    <row r="40" spans="1:12" x14ac:dyDescent="0.35">
      <c r="A40" s="7">
        <v>39</v>
      </c>
      <c r="B40" s="4" t="s">
        <v>37</v>
      </c>
      <c r="C40" s="4" t="s">
        <v>20</v>
      </c>
      <c r="D40" s="7">
        <v>21</v>
      </c>
      <c r="E40" s="6">
        <v>3.9</v>
      </c>
      <c r="F40" s="6" t="str" cm="1">
        <f t="array" ref="F40">_xlfn.IFS(E40&gt;=3.5,"A",E40&gt;=3,"B",E40&gt;=2.5,"C",E40&gt;=2,"D",E40&lt;2,"F")</f>
        <v>A</v>
      </c>
      <c r="G40" s="4" t="s">
        <v>38</v>
      </c>
      <c r="H40" s="4" t="s">
        <v>39</v>
      </c>
      <c r="I40" s="4" t="s">
        <v>40</v>
      </c>
      <c r="J40" s="4" t="s">
        <v>17</v>
      </c>
      <c r="K40" s="4" t="s">
        <v>24</v>
      </c>
      <c r="L40" s="4" t="s">
        <v>18</v>
      </c>
    </row>
    <row r="41" spans="1:12" x14ac:dyDescent="0.35">
      <c r="A41" s="7">
        <v>40</v>
      </c>
      <c r="B41" s="4" t="s">
        <v>69</v>
      </c>
      <c r="C41" s="4" t="s">
        <v>20</v>
      </c>
      <c r="D41" s="7">
        <v>22</v>
      </c>
      <c r="E41" s="6">
        <v>3.6</v>
      </c>
      <c r="F41" s="6" t="str" cm="1">
        <f t="array" ref="F41">_xlfn.IFS(E41&gt;=3.5,"A",E41&gt;=3,"B",E41&gt;=2.5,"C",E41&gt;=2,"D",E41&lt;2,"F")</f>
        <v>A</v>
      </c>
      <c r="G41" s="4" t="s">
        <v>46</v>
      </c>
      <c r="H41" s="4" t="s">
        <v>70</v>
      </c>
      <c r="I41" s="4" t="s">
        <v>48</v>
      </c>
      <c r="J41" s="4" t="s">
        <v>17</v>
      </c>
      <c r="K41" s="4" t="s">
        <v>17</v>
      </c>
      <c r="L41" s="4" t="s">
        <v>24</v>
      </c>
    </row>
    <row r="42" spans="1:12" x14ac:dyDescent="0.35">
      <c r="A42" s="7">
        <v>41</v>
      </c>
      <c r="B42" s="4" t="s">
        <v>71</v>
      </c>
      <c r="C42" s="4" t="s">
        <v>12</v>
      </c>
      <c r="D42" s="7">
        <v>20</v>
      </c>
      <c r="E42" s="6">
        <v>3.3</v>
      </c>
      <c r="F42" s="6" t="str" cm="1">
        <f t="array" ref="F42">_xlfn.IFS(E42&gt;=3.5,"A",E42&gt;=3,"B",E42&gt;=2.5,"C",E42&gt;=2,"D",E42&lt;2,"F")</f>
        <v>B</v>
      </c>
      <c r="G42" s="4" t="s">
        <v>26</v>
      </c>
      <c r="H42" s="4" t="s">
        <v>72</v>
      </c>
      <c r="I42" s="4" t="s">
        <v>28</v>
      </c>
      <c r="J42" s="4" t="s">
        <v>24</v>
      </c>
      <c r="K42" s="4" t="s">
        <v>18</v>
      </c>
      <c r="L42" s="4" t="s">
        <v>17</v>
      </c>
    </row>
    <row r="43" spans="1:12" x14ac:dyDescent="0.35">
      <c r="A43" s="7">
        <v>42</v>
      </c>
      <c r="B43" s="4" t="s">
        <v>73</v>
      </c>
      <c r="C43" s="4" t="s">
        <v>20</v>
      </c>
      <c r="D43" s="7">
        <v>21</v>
      </c>
      <c r="E43" s="6">
        <v>3.7</v>
      </c>
      <c r="F43" s="6" t="str" cm="1">
        <f t="array" ref="F43">_xlfn.IFS(E43&gt;=3.5,"A",E43&gt;=3,"B",E43&gt;=2.5,"C",E43&gt;=2,"D",E43&lt;2,"F")</f>
        <v>A</v>
      </c>
      <c r="G43" s="4" t="s">
        <v>30</v>
      </c>
      <c r="H43" s="4" t="s">
        <v>27</v>
      </c>
      <c r="I43" s="4" t="s">
        <v>32</v>
      </c>
      <c r="J43" s="4" t="s">
        <v>18</v>
      </c>
      <c r="K43" s="4" t="s">
        <v>17</v>
      </c>
      <c r="L43" s="4" t="s">
        <v>17</v>
      </c>
    </row>
    <row r="44" spans="1:12" x14ac:dyDescent="0.35">
      <c r="A44" s="7">
        <v>43</v>
      </c>
      <c r="B44" s="4" t="s">
        <v>74</v>
      </c>
      <c r="C44" s="4" t="s">
        <v>12</v>
      </c>
      <c r="D44" s="7">
        <v>23</v>
      </c>
      <c r="E44" s="6">
        <v>3.5</v>
      </c>
      <c r="F44" s="6" t="str" cm="1">
        <f t="array" ref="F44">_xlfn.IFS(E44&gt;=3.5,"A",E44&gt;=3,"B",E44&gt;=2.5,"C",E44&gt;=2,"D",E44&lt;2,"F")</f>
        <v>A</v>
      </c>
      <c r="G44" s="4" t="s">
        <v>50</v>
      </c>
      <c r="H44" s="4" t="s">
        <v>75</v>
      </c>
      <c r="I44" s="4" t="s">
        <v>52</v>
      </c>
      <c r="J44" s="4" t="s">
        <v>24</v>
      </c>
      <c r="K44" s="4" t="s">
        <v>18</v>
      </c>
      <c r="L44" s="4" t="s">
        <v>17</v>
      </c>
    </row>
    <row r="45" spans="1:12" x14ac:dyDescent="0.35">
      <c r="A45" s="7">
        <v>44</v>
      </c>
      <c r="B45" s="4" t="s">
        <v>76</v>
      </c>
      <c r="C45" s="4" t="s">
        <v>20</v>
      </c>
      <c r="D45" s="7">
        <v>22</v>
      </c>
      <c r="E45" s="6">
        <v>3.8</v>
      </c>
      <c r="F45" s="6" t="str" cm="1">
        <f t="array" ref="F45">_xlfn.IFS(E45&gt;=3.5,"A",E45&gt;=3,"B",E45&gt;=2.5,"C",E45&gt;=2,"D",E45&lt;2,"F")</f>
        <v>A</v>
      </c>
      <c r="G45" s="4" t="s">
        <v>54</v>
      </c>
      <c r="H45" s="4" t="s">
        <v>77</v>
      </c>
      <c r="I45" s="4" t="s">
        <v>56</v>
      </c>
      <c r="J45" s="4" t="s">
        <v>18</v>
      </c>
      <c r="K45" s="4" t="s">
        <v>24</v>
      </c>
      <c r="L45" s="4" t="s">
        <v>17</v>
      </c>
    </row>
    <row r="46" spans="1:12" x14ac:dyDescent="0.35">
      <c r="A46" s="7">
        <v>45</v>
      </c>
      <c r="B46" s="4" t="s">
        <v>78</v>
      </c>
      <c r="C46" s="4" t="s">
        <v>12</v>
      </c>
      <c r="D46" s="7">
        <v>21</v>
      </c>
      <c r="E46" s="6">
        <v>3.6</v>
      </c>
      <c r="F46" s="6" t="str" cm="1">
        <f t="array" ref="F46">_xlfn.IFS(E46&gt;=3.5,"A",E46&gt;=3,"B",E46&gt;=2.5,"C",E46&gt;=2,"D",E46&lt;2,"F")</f>
        <v>A</v>
      </c>
      <c r="G46" s="4" t="s">
        <v>14</v>
      </c>
      <c r="H46" s="4" t="s">
        <v>58</v>
      </c>
      <c r="I46" s="4" t="s">
        <v>59</v>
      </c>
      <c r="J46" s="4" t="s">
        <v>17</v>
      </c>
      <c r="K46" s="4" t="s">
        <v>24</v>
      </c>
      <c r="L46" s="4" t="s">
        <v>18</v>
      </c>
    </row>
    <row r="47" spans="1:12" x14ac:dyDescent="0.35">
      <c r="A47" s="7">
        <v>46</v>
      </c>
      <c r="B47" s="4" t="s">
        <v>79</v>
      </c>
      <c r="C47" s="4" t="s">
        <v>20</v>
      </c>
      <c r="D47" s="7">
        <v>20</v>
      </c>
      <c r="E47" s="6">
        <v>3.3</v>
      </c>
      <c r="F47" s="6" t="str" cm="1">
        <f t="array" ref="F47">_xlfn.IFS(E47&gt;=3.5,"A",E47&gt;=3,"B",E47&gt;=2.5,"C",E47&gt;=2,"D",E47&lt;2,"F")</f>
        <v>B</v>
      </c>
      <c r="G47" s="4" t="s">
        <v>21</v>
      </c>
      <c r="H47" s="4" t="s">
        <v>38</v>
      </c>
      <c r="I47" s="4" t="s">
        <v>23</v>
      </c>
      <c r="J47" s="4" t="s">
        <v>24</v>
      </c>
      <c r="K47" s="4" t="s">
        <v>17</v>
      </c>
      <c r="L47" s="4" t="s">
        <v>18</v>
      </c>
    </row>
    <row r="48" spans="1:12" x14ac:dyDescent="0.35">
      <c r="A48" s="7">
        <v>47</v>
      </c>
      <c r="B48" s="4" t="s">
        <v>80</v>
      </c>
      <c r="C48" s="4" t="s">
        <v>12</v>
      </c>
      <c r="D48" s="7">
        <v>22</v>
      </c>
      <c r="E48" s="6">
        <v>3.7</v>
      </c>
      <c r="F48" s="6" t="str" cm="1">
        <f t="array" ref="F48">_xlfn.IFS(E48&gt;=3.5,"A",E48&gt;=3,"B",E48&gt;=2.5,"C",E48&gt;=2,"D",E48&lt;2,"F")</f>
        <v>A</v>
      </c>
      <c r="G48" s="4" t="s">
        <v>34</v>
      </c>
      <c r="H48" s="4" t="s">
        <v>35</v>
      </c>
      <c r="I48" s="4" t="s">
        <v>36</v>
      </c>
      <c r="J48" s="4" t="s">
        <v>18</v>
      </c>
      <c r="K48" s="4" t="s">
        <v>17</v>
      </c>
      <c r="L48" s="4" t="s">
        <v>24</v>
      </c>
    </row>
    <row r="49" spans="1:12" x14ac:dyDescent="0.35">
      <c r="A49" s="7">
        <v>48</v>
      </c>
      <c r="B49" s="4" t="s">
        <v>81</v>
      </c>
      <c r="C49" s="4" t="s">
        <v>20</v>
      </c>
      <c r="D49" s="7">
        <v>21</v>
      </c>
      <c r="E49" s="6">
        <v>3.5</v>
      </c>
      <c r="F49" s="6" t="str" cm="1">
        <f t="array" ref="F49">_xlfn.IFS(E49&gt;=3.5,"A",E49&gt;=3,"B",E49&gt;=2.5,"C",E49&gt;=2,"D",E49&lt;2,"F")</f>
        <v>A</v>
      </c>
      <c r="G49" s="4" t="s">
        <v>42</v>
      </c>
      <c r="H49" s="4" t="s">
        <v>43</v>
      </c>
      <c r="I49" s="4" t="s">
        <v>44</v>
      </c>
      <c r="J49" s="4" t="s">
        <v>24</v>
      </c>
      <c r="K49" s="4" t="s">
        <v>18</v>
      </c>
      <c r="L49" s="4" t="s">
        <v>17</v>
      </c>
    </row>
    <row r="50" spans="1:12" x14ac:dyDescent="0.35">
      <c r="A50" s="7">
        <v>49</v>
      </c>
      <c r="B50" s="4" t="s">
        <v>82</v>
      </c>
      <c r="C50" s="4" t="s">
        <v>12</v>
      </c>
      <c r="D50" s="7">
        <v>23</v>
      </c>
      <c r="E50" s="6">
        <v>3.8</v>
      </c>
      <c r="F50" s="6" t="str" cm="1">
        <f t="array" ref="F50">_xlfn.IFS(E50&gt;=3.5,"A",E50&gt;=3,"B",E50&gt;=2.5,"C",E50&gt;=2,"D",E50&lt;2,"F")</f>
        <v>A</v>
      </c>
      <c r="G50" s="4" t="s">
        <v>46</v>
      </c>
      <c r="H50" s="4" t="s">
        <v>47</v>
      </c>
      <c r="I50" s="4" t="s">
        <v>48</v>
      </c>
      <c r="J50" s="4" t="s">
        <v>17</v>
      </c>
      <c r="K50" s="4" t="s">
        <v>17</v>
      </c>
      <c r="L50" s="4" t="s">
        <v>24</v>
      </c>
    </row>
    <row r="51" spans="1:12" x14ac:dyDescent="0.35">
      <c r="A51" s="7">
        <v>50</v>
      </c>
      <c r="B51" s="4" t="s">
        <v>83</v>
      </c>
      <c r="C51" s="4" t="s">
        <v>12</v>
      </c>
      <c r="D51" s="7">
        <v>22</v>
      </c>
      <c r="E51" s="6">
        <v>3.6</v>
      </c>
      <c r="F51" s="6" t="str" cm="1">
        <f t="array" ref="F51">_xlfn.IFS(E51&gt;=3.5,"A",E51&gt;=3,"B",E51&gt;=2.5,"C",E51&gt;=2,"D",E51&lt;2,"F")</f>
        <v>A</v>
      </c>
      <c r="G51" s="4" t="s">
        <v>26</v>
      </c>
      <c r="H51" s="4" t="s">
        <v>72</v>
      </c>
      <c r="I51" s="4" t="s">
        <v>28</v>
      </c>
      <c r="J51" s="4" t="s">
        <v>24</v>
      </c>
      <c r="K51" s="4" t="s">
        <v>18</v>
      </c>
      <c r="L51" s="4" t="s">
        <v>17</v>
      </c>
    </row>
    <row r="52" spans="1:12" x14ac:dyDescent="0.35">
      <c r="A52" s="7">
        <v>51</v>
      </c>
      <c r="B52" s="4" t="s">
        <v>84</v>
      </c>
      <c r="C52" s="4" t="s">
        <v>20</v>
      </c>
      <c r="D52" s="7">
        <v>21</v>
      </c>
      <c r="E52" s="6">
        <v>3.7</v>
      </c>
      <c r="F52" s="6" t="str" cm="1">
        <f t="array" ref="F52">_xlfn.IFS(E52&gt;=3.5,"A",E52&gt;=3,"B",E52&gt;=2.5,"C",E52&gt;=2,"D",E52&lt;2,"F")</f>
        <v>A</v>
      </c>
      <c r="G52" s="4" t="s">
        <v>30</v>
      </c>
      <c r="H52" s="4" t="s">
        <v>27</v>
      </c>
      <c r="I52" s="4" t="s">
        <v>32</v>
      </c>
      <c r="J52" s="4" t="s">
        <v>18</v>
      </c>
      <c r="K52" s="4" t="s">
        <v>17</v>
      </c>
      <c r="L52" s="4" t="s">
        <v>17</v>
      </c>
    </row>
    <row r="53" spans="1:12" x14ac:dyDescent="0.35">
      <c r="A53" s="7">
        <v>52</v>
      </c>
      <c r="B53" s="4" t="s">
        <v>85</v>
      </c>
      <c r="C53" s="4" t="s">
        <v>12</v>
      </c>
      <c r="D53" s="7">
        <v>20</v>
      </c>
      <c r="E53" s="6">
        <v>3.3</v>
      </c>
      <c r="F53" s="6" t="str" cm="1">
        <f t="array" ref="F53">_xlfn.IFS(E53&gt;=3.5,"A",E53&gt;=3,"B",E53&gt;=2.5,"C",E53&gt;=2,"D",E53&lt;2,"F")</f>
        <v>B</v>
      </c>
      <c r="G53" s="4" t="s">
        <v>50</v>
      </c>
      <c r="H53" s="4" t="s">
        <v>86</v>
      </c>
      <c r="I53" s="4" t="s">
        <v>52</v>
      </c>
      <c r="J53" s="4" t="s">
        <v>24</v>
      </c>
      <c r="K53" s="4" t="s">
        <v>18</v>
      </c>
      <c r="L53" s="4" t="s">
        <v>17</v>
      </c>
    </row>
    <row r="54" spans="1:12" x14ac:dyDescent="0.35">
      <c r="A54" s="7">
        <v>53</v>
      </c>
      <c r="B54" s="4" t="s">
        <v>87</v>
      </c>
      <c r="C54" s="4" t="s">
        <v>20</v>
      </c>
      <c r="D54" s="7">
        <v>22</v>
      </c>
      <c r="E54" s="6">
        <v>3.8</v>
      </c>
      <c r="F54" s="6" t="str" cm="1">
        <f t="array" ref="F54">_xlfn.IFS(E54&gt;=3.5,"A",E54&gt;=3,"B",E54&gt;=2.5,"C",E54&gt;=2,"D",E54&lt;2,"F")</f>
        <v>A</v>
      </c>
      <c r="G54" s="4" t="s">
        <v>54</v>
      </c>
      <c r="H54" s="4" t="s">
        <v>88</v>
      </c>
      <c r="I54" s="4" t="s">
        <v>56</v>
      </c>
      <c r="J54" s="4" t="s">
        <v>18</v>
      </c>
      <c r="K54" s="4" t="s">
        <v>24</v>
      </c>
      <c r="L54" s="4" t="s">
        <v>17</v>
      </c>
    </row>
    <row r="55" spans="1:12" x14ac:dyDescent="0.35">
      <c r="A55" s="7">
        <v>54</v>
      </c>
      <c r="B55" s="4" t="s">
        <v>89</v>
      </c>
      <c r="C55" s="4" t="s">
        <v>20</v>
      </c>
      <c r="D55" s="7">
        <v>21</v>
      </c>
      <c r="E55" s="6">
        <v>3.6</v>
      </c>
      <c r="F55" s="6" t="str" cm="1">
        <f t="array" ref="F55">_xlfn.IFS(E55&gt;=3.5,"A",E55&gt;=3,"B",E55&gt;=2.5,"C",E55&gt;=2,"D",E55&lt;2,"F")</f>
        <v>A</v>
      </c>
      <c r="G55" s="4" t="s">
        <v>14</v>
      </c>
      <c r="H55" s="4" t="s">
        <v>58</v>
      </c>
      <c r="I55" s="4" t="s">
        <v>59</v>
      </c>
      <c r="J55" s="4" t="s">
        <v>17</v>
      </c>
      <c r="K55" s="4" t="s">
        <v>24</v>
      </c>
      <c r="L55" s="4" t="s">
        <v>18</v>
      </c>
    </row>
    <row r="56" spans="1:12" x14ac:dyDescent="0.35">
      <c r="A56" s="7">
        <v>55</v>
      </c>
      <c r="B56" s="4" t="s">
        <v>90</v>
      </c>
      <c r="C56" s="4" t="s">
        <v>12</v>
      </c>
      <c r="D56" s="7">
        <v>20</v>
      </c>
      <c r="E56" s="6">
        <v>3.3</v>
      </c>
      <c r="F56" s="6" t="str" cm="1">
        <f t="array" ref="F56">_xlfn.IFS(E56&gt;=3.5,"A",E56&gt;=3,"B",E56&gt;=2.5,"C",E56&gt;=2,"D",E56&lt;2,"F")</f>
        <v>B</v>
      </c>
      <c r="G56" s="4" t="s">
        <v>21</v>
      </c>
      <c r="H56" s="4" t="s">
        <v>38</v>
      </c>
      <c r="I56" s="4" t="s">
        <v>23</v>
      </c>
      <c r="J56" s="4" t="s">
        <v>24</v>
      </c>
      <c r="K56" s="4" t="s">
        <v>17</v>
      </c>
      <c r="L56" s="4" t="s">
        <v>18</v>
      </c>
    </row>
    <row r="57" spans="1:12" x14ac:dyDescent="0.35">
      <c r="A57" s="7">
        <v>56</v>
      </c>
      <c r="B57" s="4" t="s">
        <v>91</v>
      </c>
      <c r="C57" s="4" t="s">
        <v>12</v>
      </c>
      <c r="D57" s="7">
        <v>22</v>
      </c>
      <c r="E57" s="6">
        <v>3.7</v>
      </c>
      <c r="F57" s="6" t="str" cm="1">
        <f t="array" ref="F57">_xlfn.IFS(E57&gt;=3.5,"A",E57&gt;=3,"B",E57&gt;=2.5,"C",E57&gt;=2,"D",E57&lt;2,"F")</f>
        <v>A</v>
      </c>
      <c r="G57" s="4" t="s">
        <v>34</v>
      </c>
      <c r="H57" s="4" t="s">
        <v>35</v>
      </c>
      <c r="I57" s="4" t="s">
        <v>36</v>
      </c>
      <c r="J57" s="4" t="s">
        <v>18</v>
      </c>
      <c r="K57" s="4" t="s">
        <v>17</v>
      </c>
      <c r="L57" s="4" t="s">
        <v>24</v>
      </c>
    </row>
    <row r="58" spans="1:12" x14ac:dyDescent="0.35">
      <c r="A58" s="7">
        <v>57</v>
      </c>
      <c r="B58" s="4" t="s">
        <v>92</v>
      </c>
      <c r="C58" s="4" t="s">
        <v>12</v>
      </c>
      <c r="D58" s="7">
        <v>21</v>
      </c>
      <c r="E58" s="6">
        <v>3.5</v>
      </c>
      <c r="F58" s="6" t="str" cm="1">
        <f t="array" ref="F58">_xlfn.IFS(E58&gt;=3.5,"A",E58&gt;=3,"B",E58&gt;=2.5,"C",E58&gt;=2,"D",E58&lt;2,"F")</f>
        <v>A</v>
      </c>
      <c r="G58" s="4" t="s">
        <v>42</v>
      </c>
      <c r="H58" s="4" t="s">
        <v>43</v>
      </c>
      <c r="I58" s="4" t="s">
        <v>44</v>
      </c>
      <c r="J58" s="4" t="s">
        <v>24</v>
      </c>
      <c r="K58" s="4" t="s">
        <v>18</v>
      </c>
      <c r="L58" s="4" t="s">
        <v>17</v>
      </c>
    </row>
    <row r="59" spans="1:12" x14ac:dyDescent="0.35">
      <c r="A59" s="7">
        <v>58</v>
      </c>
      <c r="B59" s="4" t="s">
        <v>93</v>
      </c>
      <c r="C59" s="4" t="s">
        <v>12</v>
      </c>
      <c r="D59" s="7">
        <v>23</v>
      </c>
      <c r="E59" s="6">
        <v>3.8</v>
      </c>
      <c r="F59" s="6" t="str" cm="1">
        <f t="array" ref="F59">_xlfn.IFS(E59&gt;=3.5,"A",E59&gt;=3,"B",E59&gt;=2.5,"C",E59&gt;=2,"D",E59&lt;2,"F")</f>
        <v>A</v>
      </c>
      <c r="G59" s="4" t="s">
        <v>46</v>
      </c>
      <c r="H59" s="4" t="s">
        <v>47</v>
      </c>
      <c r="I59" s="4" t="s">
        <v>48</v>
      </c>
      <c r="J59" s="4" t="s">
        <v>17</v>
      </c>
      <c r="K59" s="4" t="s">
        <v>17</v>
      </c>
      <c r="L59" s="4" t="s">
        <v>24</v>
      </c>
    </row>
    <row r="60" spans="1:12" x14ac:dyDescent="0.35">
      <c r="A60" s="7">
        <v>59</v>
      </c>
      <c r="B60" s="4" t="s">
        <v>94</v>
      </c>
      <c r="C60" s="4" t="s">
        <v>12</v>
      </c>
      <c r="D60" s="7">
        <v>22</v>
      </c>
      <c r="E60" s="6">
        <v>3.6</v>
      </c>
      <c r="F60" s="6" t="str" cm="1">
        <f t="array" ref="F60">_xlfn.IFS(E60&gt;=3.5,"A",E60&gt;=3,"B",E60&gt;=2.5,"C",E60&gt;=2,"D",E60&lt;2,"F")</f>
        <v>A</v>
      </c>
      <c r="G60" s="4" t="s">
        <v>26</v>
      </c>
      <c r="H60" s="4" t="s">
        <v>72</v>
      </c>
      <c r="I60" s="4" t="s">
        <v>28</v>
      </c>
      <c r="J60" s="4" t="s">
        <v>24</v>
      </c>
      <c r="K60" s="4" t="s">
        <v>18</v>
      </c>
      <c r="L60" s="4" t="s">
        <v>17</v>
      </c>
    </row>
    <row r="61" spans="1:12" x14ac:dyDescent="0.35">
      <c r="A61" s="7">
        <v>60</v>
      </c>
      <c r="B61" s="4" t="s">
        <v>95</v>
      </c>
      <c r="C61" s="4" t="s">
        <v>12</v>
      </c>
      <c r="D61" s="7">
        <v>20</v>
      </c>
      <c r="E61" s="6">
        <v>3.3</v>
      </c>
      <c r="F61" s="6" t="str" cm="1">
        <f t="array" ref="F61">_xlfn.IFS(E61&gt;=3.5,"A",E61&gt;=3,"B",E61&gt;=2.5,"C",E61&gt;=2,"D",E61&lt;2,"F")</f>
        <v>B</v>
      </c>
      <c r="G61" s="4" t="s">
        <v>30</v>
      </c>
      <c r="H61" s="4" t="s">
        <v>27</v>
      </c>
      <c r="I61" s="4" t="s">
        <v>32</v>
      </c>
      <c r="J61" s="4" t="s">
        <v>18</v>
      </c>
      <c r="K61" s="4" t="s">
        <v>17</v>
      </c>
      <c r="L61" s="4" t="s">
        <v>17</v>
      </c>
    </row>
    <row r="62" spans="1:12" x14ac:dyDescent="0.35">
      <c r="A62" s="7">
        <v>61</v>
      </c>
      <c r="B62" s="4" t="s">
        <v>96</v>
      </c>
      <c r="C62" s="4" t="s">
        <v>12</v>
      </c>
      <c r="D62" s="7">
        <v>21</v>
      </c>
      <c r="E62" s="6">
        <v>3.7</v>
      </c>
      <c r="F62" s="6" t="str" cm="1">
        <f t="array" ref="F62">_xlfn.IFS(E62&gt;=3.5,"A",E62&gt;=3,"B",E62&gt;=2.5,"C",E62&gt;=2,"D",E62&lt;2,"F")</f>
        <v>A</v>
      </c>
      <c r="G62" s="4" t="s">
        <v>50</v>
      </c>
      <c r="H62" s="4" t="s">
        <v>86</v>
      </c>
      <c r="I62" s="4" t="s">
        <v>52</v>
      </c>
      <c r="J62" s="4" t="s">
        <v>24</v>
      </c>
      <c r="K62" s="4" t="s">
        <v>18</v>
      </c>
      <c r="L62" s="4" t="s">
        <v>17</v>
      </c>
    </row>
    <row r="63" spans="1:12" x14ac:dyDescent="0.35">
      <c r="A63" s="7">
        <v>62</v>
      </c>
      <c r="B63" s="4" t="s">
        <v>97</v>
      </c>
      <c r="C63" s="4" t="s">
        <v>12</v>
      </c>
      <c r="D63" s="7">
        <v>22</v>
      </c>
      <c r="E63" s="6">
        <v>3.5</v>
      </c>
      <c r="F63" s="6" t="str" cm="1">
        <f t="array" ref="F63">_xlfn.IFS(E63&gt;=3.5,"A",E63&gt;=3,"B",E63&gt;=2.5,"C",E63&gt;=2,"D",E63&lt;2,"F")</f>
        <v>A</v>
      </c>
      <c r="G63" s="4" t="s">
        <v>54</v>
      </c>
      <c r="H63" s="4" t="s">
        <v>77</v>
      </c>
      <c r="I63" s="4" t="s">
        <v>56</v>
      </c>
      <c r="J63" s="4" t="s">
        <v>18</v>
      </c>
      <c r="K63" s="4" t="s">
        <v>24</v>
      </c>
      <c r="L63" s="4" t="s">
        <v>17</v>
      </c>
    </row>
    <row r="64" spans="1:12" x14ac:dyDescent="0.35">
      <c r="A64" s="7">
        <v>63</v>
      </c>
      <c r="B64" s="4" t="s">
        <v>98</v>
      </c>
      <c r="C64" s="4" t="s">
        <v>12</v>
      </c>
      <c r="D64" s="7">
        <v>23</v>
      </c>
      <c r="E64" s="6">
        <v>3.8</v>
      </c>
      <c r="F64" s="6" t="str" cm="1">
        <f t="array" ref="F64">_xlfn.IFS(E64&gt;=3.5,"A",E64&gt;=3,"B",E64&gt;=2.5,"C",E64&gt;=2,"D",E64&lt;2,"F")</f>
        <v>A</v>
      </c>
      <c r="G64" s="4" t="s">
        <v>14</v>
      </c>
      <c r="H64" s="4" t="s">
        <v>58</v>
      </c>
      <c r="I64" s="4" t="s">
        <v>59</v>
      </c>
      <c r="J64" s="4" t="s">
        <v>17</v>
      </c>
      <c r="K64" s="4" t="s">
        <v>24</v>
      </c>
      <c r="L64" s="4" t="s">
        <v>18</v>
      </c>
    </row>
    <row r="65" spans="1:12" x14ac:dyDescent="0.35">
      <c r="A65" s="7">
        <v>64</v>
      </c>
      <c r="B65" s="4" t="s">
        <v>99</v>
      </c>
      <c r="C65" s="4" t="s">
        <v>12</v>
      </c>
      <c r="D65" s="7">
        <v>20</v>
      </c>
      <c r="E65" s="6">
        <v>3.3</v>
      </c>
      <c r="F65" s="6" t="str" cm="1">
        <f t="array" ref="F65">_xlfn.IFS(E65&gt;=3.5,"A",E65&gt;=3,"B",E65&gt;=2.5,"C",E65&gt;=2,"D",E65&lt;2,"F")</f>
        <v>B</v>
      </c>
      <c r="G65" s="4" t="s">
        <v>21</v>
      </c>
      <c r="H65" s="4" t="s">
        <v>38</v>
      </c>
      <c r="I65" s="4" t="s">
        <v>23</v>
      </c>
      <c r="J65" s="4" t="s">
        <v>24</v>
      </c>
      <c r="K65" s="4" t="s">
        <v>17</v>
      </c>
      <c r="L65" s="4" t="s">
        <v>18</v>
      </c>
    </row>
    <row r="66" spans="1:12" x14ac:dyDescent="0.35">
      <c r="A66" s="7">
        <v>65</v>
      </c>
      <c r="B66" s="4" t="s">
        <v>100</v>
      </c>
      <c r="C66" s="4" t="s">
        <v>12</v>
      </c>
      <c r="D66" s="7">
        <v>22</v>
      </c>
      <c r="E66" s="6">
        <v>3.7</v>
      </c>
      <c r="F66" s="6" t="str" cm="1">
        <f t="array" ref="F66">_xlfn.IFS(E66&gt;=3.5,"A",E66&gt;=3,"B",E66&gt;=2.5,"C",E66&gt;=2,"D",E66&lt;2,"F")</f>
        <v>A</v>
      </c>
      <c r="G66" s="4" t="s">
        <v>34</v>
      </c>
      <c r="H66" s="4" t="s">
        <v>35</v>
      </c>
      <c r="I66" s="4" t="s">
        <v>36</v>
      </c>
      <c r="J66" s="4" t="s">
        <v>18</v>
      </c>
      <c r="K66" s="4" t="s">
        <v>17</v>
      </c>
      <c r="L66" s="4" t="s">
        <v>24</v>
      </c>
    </row>
    <row r="67" spans="1:12" x14ac:dyDescent="0.35">
      <c r="A67" s="7">
        <v>66</v>
      </c>
      <c r="B67" s="4" t="s">
        <v>101</v>
      </c>
      <c r="C67" s="4" t="s">
        <v>12</v>
      </c>
      <c r="D67" s="7">
        <v>21</v>
      </c>
      <c r="E67" s="6">
        <v>3.5</v>
      </c>
      <c r="F67" s="6" t="str" cm="1">
        <f t="array" ref="F67">_xlfn.IFS(E67&gt;=3.5,"A",E67&gt;=3,"B",E67&gt;=2.5,"C",E67&gt;=2,"D",E67&lt;2,"F")</f>
        <v>A</v>
      </c>
      <c r="G67" s="4" t="s">
        <v>42</v>
      </c>
      <c r="H67" s="4" t="s">
        <v>43</v>
      </c>
      <c r="I67" s="4" t="s">
        <v>44</v>
      </c>
      <c r="J67" s="4" t="s">
        <v>24</v>
      </c>
      <c r="K67" s="4" t="s">
        <v>18</v>
      </c>
      <c r="L67" s="4" t="s">
        <v>17</v>
      </c>
    </row>
    <row r="68" spans="1:12" x14ac:dyDescent="0.35">
      <c r="A68" s="7">
        <v>67</v>
      </c>
      <c r="B68" s="4" t="s">
        <v>102</v>
      </c>
      <c r="C68" s="4" t="s">
        <v>12</v>
      </c>
      <c r="D68" s="7">
        <v>23</v>
      </c>
      <c r="E68" s="6">
        <v>3.8</v>
      </c>
      <c r="F68" s="6" t="str" cm="1">
        <f t="array" ref="F68">_xlfn.IFS(E68&gt;=3.5,"A",E68&gt;=3,"B",E68&gt;=2.5,"C",E68&gt;=2,"D",E68&lt;2,"F")</f>
        <v>A</v>
      </c>
      <c r="G68" s="4" t="s">
        <v>46</v>
      </c>
      <c r="H68" s="4" t="s">
        <v>47</v>
      </c>
      <c r="I68" s="4" t="s">
        <v>48</v>
      </c>
      <c r="J68" s="4" t="s">
        <v>17</v>
      </c>
      <c r="K68" s="4" t="s">
        <v>17</v>
      </c>
      <c r="L68" s="4" t="s">
        <v>24</v>
      </c>
    </row>
    <row r="69" spans="1:12" x14ac:dyDescent="0.35">
      <c r="A69" s="7">
        <v>68</v>
      </c>
      <c r="B69" s="4" t="s">
        <v>103</v>
      </c>
      <c r="C69" s="4" t="s">
        <v>12</v>
      </c>
      <c r="D69" s="7">
        <v>22</v>
      </c>
      <c r="E69" s="6">
        <v>3.6</v>
      </c>
      <c r="F69" s="6" t="str" cm="1">
        <f t="array" ref="F69">_xlfn.IFS(E69&gt;=3.5,"A",E69&gt;=3,"B",E69&gt;=2.5,"C",E69&gt;=2,"D",E69&lt;2,"F")</f>
        <v>A</v>
      </c>
      <c r="G69" s="4" t="s">
        <v>26</v>
      </c>
      <c r="H69" s="4" t="s">
        <v>72</v>
      </c>
      <c r="I69" s="4" t="s">
        <v>28</v>
      </c>
      <c r="J69" s="4" t="s">
        <v>24</v>
      </c>
      <c r="K69" s="4" t="s">
        <v>18</v>
      </c>
      <c r="L69" s="4" t="s">
        <v>17</v>
      </c>
    </row>
    <row r="70" spans="1:12" x14ac:dyDescent="0.35">
      <c r="A70" s="7">
        <v>69</v>
      </c>
      <c r="B70" s="4" t="s">
        <v>92</v>
      </c>
      <c r="C70" s="4" t="s">
        <v>12</v>
      </c>
      <c r="D70" s="7">
        <v>20</v>
      </c>
      <c r="E70" s="6">
        <v>3.3</v>
      </c>
      <c r="F70" s="6" t="str" cm="1">
        <f t="array" ref="F70">_xlfn.IFS(E70&gt;=3.5,"A",E70&gt;=3,"B",E70&gt;=2.5,"C",E70&gt;=2,"D",E70&lt;2,"F")</f>
        <v>B</v>
      </c>
      <c r="G70" s="4" t="s">
        <v>30</v>
      </c>
      <c r="H70" s="4" t="s">
        <v>27</v>
      </c>
      <c r="I70" s="4" t="s">
        <v>32</v>
      </c>
      <c r="J70" s="4" t="s">
        <v>18</v>
      </c>
      <c r="K70" s="4" t="s">
        <v>17</v>
      </c>
      <c r="L70" s="4" t="s">
        <v>17</v>
      </c>
    </row>
    <row r="71" spans="1:12" x14ac:dyDescent="0.35">
      <c r="A71" s="7">
        <v>70</v>
      </c>
      <c r="B71" s="4" t="s">
        <v>104</v>
      </c>
      <c r="C71" s="4" t="s">
        <v>12</v>
      </c>
      <c r="D71" s="7">
        <v>21</v>
      </c>
      <c r="E71" s="6">
        <v>3.7</v>
      </c>
      <c r="F71" s="6" t="str" cm="1">
        <f t="array" ref="F71">_xlfn.IFS(E71&gt;=3.5,"A",E71&gt;=3,"B",E71&gt;=2.5,"C",E71&gt;=2,"D",E71&lt;2,"F")</f>
        <v>A</v>
      </c>
      <c r="G71" s="4" t="s">
        <v>50</v>
      </c>
      <c r="H71" s="4" t="s">
        <v>86</v>
      </c>
      <c r="I71" s="4" t="s">
        <v>52</v>
      </c>
      <c r="J71" s="4" t="s">
        <v>24</v>
      </c>
      <c r="K71" s="4" t="s">
        <v>18</v>
      </c>
      <c r="L71" s="4" t="s">
        <v>17</v>
      </c>
    </row>
    <row r="72" spans="1:12" x14ac:dyDescent="0.35">
      <c r="A72" s="7">
        <v>71</v>
      </c>
      <c r="B72" s="4" t="s">
        <v>105</v>
      </c>
      <c r="C72" s="4" t="s">
        <v>12</v>
      </c>
      <c r="D72" s="7">
        <v>22</v>
      </c>
      <c r="E72" s="6">
        <v>3.5</v>
      </c>
      <c r="F72" s="6" t="str" cm="1">
        <f t="array" ref="F72">_xlfn.IFS(E72&gt;=3.5,"A",E72&gt;=3,"B",E72&gt;=2.5,"C",E72&gt;=2,"D",E72&lt;2,"F")</f>
        <v>A</v>
      </c>
      <c r="G72" s="4" t="s">
        <v>54</v>
      </c>
      <c r="H72" s="4" t="s">
        <v>77</v>
      </c>
      <c r="I72" s="4" t="s">
        <v>56</v>
      </c>
      <c r="J72" s="4" t="s">
        <v>18</v>
      </c>
      <c r="K72" s="4" t="s">
        <v>24</v>
      </c>
      <c r="L72" s="4" t="s">
        <v>17</v>
      </c>
    </row>
    <row r="73" spans="1:12" x14ac:dyDescent="0.35">
      <c r="A73" s="7">
        <v>72</v>
      </c>
      <c r="B73" s="4" t="s">
        <v>106</v>
      </c>
      <c r="C73" s="4" t="s">
        <v>12</v>
      </c>
      <c r="D73" s="7">
        <v>23</v>
      </c>
      <c r="E73" s="6">
        <v>3.8</v>
      </c>
      <c r="F73" s="6" t="str" cm="1">
        <f t="array" ref="F73">_xlfn.IFS(E73&gt;=3.5,"A",E73&gt;=3,"B",E73&gt;=2.5,"C",E73&gt;=2,"D",E73&lt;2,"F")</f>
        <v>A</v>
      </c>
      <c r="G73" s="4" t="s">
        <v>14</v>
      </c>
      <c r="H73" s="4" t="s">
        <v>58</v>
      </c>
      <c r="I73" s="4" t="s">
        <v>59</v>
      </c>
      <c r="J73" s="4" t="s">
        <v>17</v>
      </c>
      <c r="K73" s="4" t="s">
        <v>24</v>
      </c>
      <c r="L73" s="4" t="s">
        <v>18</v>
      </c>
    </row>
    <row r="74" spans="1:12" x14ac:dyDescent="0.35">
      <c r="A74" s="7">
        <v>73</v>
      </c>
      <c r="B74" s="4" t="s">
        <v>107</v>
      </c>
      <c r="C74" s="4" t="s">
        <v>12</v>
      </c>
      <c r="D74" s="7">
        <v>20</v>
      </c>
      <c r="E74" s="6">
        <v>3.3</v>
      </c>
      <c r="F74" s="6" t="str" cm="1">
        <f t="array" ref="F74">_xlfn.IFS(E74&gt;=3.5,"A",E74&gt;=3,"B",E74&gt;=2.5,"C",E74&gt;=2,"D",E74&lt;2,"F")</f>
        <v>B</v>
      </c>
      <c r="G74" s="4" t="s">
        <v>21</v>
      </c>
      <c r="H74" s="4" t="s">
        <v>38</v>
      </c>
      <c r="I74" s="4" t="s">
        <v>23</v>
      </c>
      <c r="J74" s="4" t="s">
        <v>24</v>
      </c>
      <c r="K74" s="4" t="s">
        <v>17</v>
      </c>
      <c r="L74" s="4" t="s">
        <v>18</v>
      </c>
    </row>
    <row r="75" spans="1:12" x14ac:dyDescent="0.35">
      <c r="A75" s="7">
        <v>74</v>
      </c>
      <c r="B75" s="4" t="s">
        <v>108</v>
      </c>
      <c r="C75" s="4" t="s">
        <v>12</v>
      </c>
      <c r="D75" s="7">
        <v>22</v>
      </c>
      <c r="E75" s="6">
        <v>3.7</v>
      </c>
      <c r="F75" s="6" t="str" cm="1">
        <f t="array" ref="F75">_xlfn.IFS(E75&gt;=3.5,"A",E75&gt;=3,"B",E75&gt;=2.5,"C",E75&gt;=2,"D",E75&lt;2,"F")</f>
        <v>A</v>
      </c>
      <c r="G75" s="4" t="s">
        <v>34</v>
      </c>
      <c r="H75" s="4" t="s">
        <v>35</v>
      </c>
      <c r="I75" s="4" t="s">
        <v>36</v>
      </c>
      <c r="J75" s="4" t="s">
        <v>18</v>
      </c>
      <c r="K75" s="4" t="s">
        <v>17</v>
      </c>
      <c r="L75" s="4" t="s">
        <v>24</v>
      </c>
    </row>
    <row r="76" spans="1:12" x14ac:dyDescent="0.35">
      <c r="A76" s="7">
        <v>75</v>
      </c>
      <c r="B76" s="4" t="s">
        <v>109</v>
      </c>
      <c r="C76" s="4" t="s">
        <v>12</v>
      </c>
      <c r="D76" s="7">
        <v>21</v>
      </c>
      <c r="E76" s="6">
        <v>3.5</v>
      </c>
      <c r="F76" s="6" t="str" cm="1">
        <f t="array" ref="F76">_xlfn.IFS(E76&gt;=3.5,"A",E76&gt;=3,"B",E76&gt;=2.5,"C",E76&gt;=2,"D",E76&lt;2,"F")</f>
        <v>A</v>
      </c>
      <c r="G76" s="4" t="s">
        <v>42</v>
      </c>
      <c r="H76" s="4" t="s">
        <v>43</v>
      </c>
      <c r="I76" s="4" t="s">
        <v>44</v>
      </c>
      <c r="J76" s="4" t="s">
        <v>24</v>
      </c>
      <c r="K76" s="4" t="s">
        <v>18</v>
      </c>
      <c r="L76" s="4" t="s">
        <v>17</v>
      </c>
    </row>
    <row r="77" spans="1:12" x14ac:dyDescent="0.35">
      <c r="A77" s="7">
        <v>76</v>
      </c>
      <c r="B77" s="4" t="s">
        <v>108</v>
      </c>
      <c r="C77" s="4" t="s">
        <v>20</v>
      </c>
      <c r="D77" s="7">
        <v>22</v>
      </c>
      <c r="E77" s="6">
        <v>3.7</v>
      </c>
      <c r="F77" s="6" t="str" cm="1">
        <f t="array" ref="F77">_xlfn.IFS(E77&gt;=3.5,"A",E77&gt;=3,"B",E77&gt;=2.5,"C",E77&gt;=2,"D",E77&lt;2,"F")</f>
        <v>A</v>
      </c>
      <c r="G77" s="4" t="s">
        <v>34</v>
      </c>
      <c r="H77" s="4" t="s">
        <v>35</v>
      </c>
      <c r="I77" s="4" t="s">
        <v>36</v>
      </c>
      <c r="J77" s="4" t="s">
        <v>18</v>
      </c>
      <c r="K77" s="4" t="s">
        <v>17</v>
      </c>
      <c r="L77" s="4" t="s">
        <v>24</v>
      </c>
    </row>
    <row r="78" spans="1:12" x14ac:dyDescent="0.35">
      <c r="A78" s="7">
        <v>77</v>
      </c>
      <c r="B78" s="4" t="s">
        <v>110</v>
      </c>
      <c r="C78" s="4" t="s">
        <v>12</v>
      </c>
      <c r="D78" s="7">
        <v>35</v>
      </c>
      <c r="E78" s="6">
        <v>3.9</v>
      </c>
      <c r="F78" s="6" t="str" cm="1">
        <f t="array" ref="F78">_xlfn.IFS(E78&gt;=3.5,"A",E78&gt;=3,"B",E78&gt;=2.5,"C",E78&gt;=2,"D",E78&lt;2,"F")</f>
        <v>A</v>
      </c>
      <c r="G78" s="4" t="s">
        <v>46</v>
      </c>
      <c r="H78" s="4" t="s">
        <v>47</v>
      </c>
      <c r="I78" s="4" t="s">
        <v>48</v>
      </c>
      <c r="J78" s="4" t="s">
        <v>17</v>
      </c>
      <c r="K78" s="4" t="s">
        <v>17</v>
      </c>
      <c r="L78" s="4" t="s">
        <v>24</v>
      </c>
    </row>
    <row r="79" spans="1:12" x14ac:dyDescent="0.35">
      <c r="A79" s="7">
        <v>78</v>
      </c>
      <c r="B79" s="4" t="s">
        <v>111</v>
      </c>
      <c r="C79" s="4" t="s">
        <v>20</v>
      </c>
      <c r="D79" s="7">
        <v>33</v>
      </c>
      <c r="E79" s="6">
        <v>3.8</v>
      </c>
      <c r="F79" s="6" t="str" cm="1">
        <f t="array" ref="F79">_xlfn.IFS(E79&gt;=3.5,"A",E79&gt;=3,"B",E79&gt;=2.5,"C",E79&gt;=2,"D",E79&lt;2,"F")</f>
        <v>A</v>
      </c>
      <c r="G79" s="4" t="s">
        <v>34</v>
      </c>
      <c r="H79" s="4" t="s">
        <v>35</v>
      </c>
      <c r="I79" s="4" t="s">
        <v>36</v>
      </c>
      <c r="J79" s="4" t="s">
        <v>18</v>
      </c>
      <c r="K79" s="4" t="s">
        <v>17</v>
      </c>
      <c r="L79" s="4" t="s">
        <v>24</v>
      </c>
    </row>
    <row r="80" spans="1:12" x14ac:dyDescent="0.35">
      <c r="A80" s="7">
        <v>79</v>
      </c>
      <c r="B80" s="4" t="s">
        <v>112</v>
      </c>
      <c r="C80" s="4" t="s">
        <v>20</v>
      </c>
      <c r="D80" s="7">
        <v>37</v>
      </c>
      <c r="E80" s="6">
        <v>3.7</v>
      </c>
      <c r="F80" s="6" t="str" cm="1">
        <f t="array" ref="F80">_xlfn.IFS(E80&gt;=3.5,"A",E80&gt;=3,"B",E80&gt;=2.5,"C",E80&gt;=2,"D",E80&lt;2,"F")</f>
        <v>A</v>
      </c>
      <c r="G80" s="4" t="s">
        <v>42</v>
      </c>
      <c r="H80" s="4" t="s">
        <v>43</v>
      </c>
      <c r="I80" s="4" t="s">
        <v>44</v>
      </c>
      <c r="J80" s="4" t="s">
        <v>24</v>
      </c>
      <c r="K80" s="4" t="s">
        <v>18</v>
      </c>
      <c r="L80" s="4" t="s">
        <v>17</v>
      </c>
    </row>
    <row r="81" spans="1:12" x14ac:dyDescent="0.35">
      <c r="A81" s="7">
        <v>80</v>
      </c>
      <c r="B81" s="4" t="s">
        <v>113</v>
      </c>
      <c r="C81" s="4" t="s">
        <v>20</v>
      </c>
      <c r="D81" s="7">
        <v>29</v>
      </c>
      <c r="E81" s="6">
        <v>3.6</v>
      </c>
      <c r="F81" s="6" t="str" cm="1">
        <f t="array" ref="F81">_xlfn.IFS(E81&gt;=3.5,"A",E81&gt;=3,"B",E81&gt;=2.5,"C",E81&gt;=2,"D",E81&lt;2,"F")</f>
        <v>A</v>
      </c>
      <c r="G81" s="4" t="s">
        <v>50</v>
      </c>
      <c r="H81" s="4" t="s">
        <v>86</v>
      </c>
      <c r="I81" s="4" t="s">
        <v>52</v>
      </c>
      <c r="J81" s="4" t="s">
        <v>17</v>
      </c>
      <c r="K81" s="4" t="s">
        <v>24</v>
      </c>
      <c r="L81" s="4" t="s">
        <v>17</v>
      </c>
    </row>
    <row r="82" spans="1:12" x14ac:dyDescent="0.35">
      <c r="A82" s="7">
        <v>81</v>
      </c>
      <c r="B82" s="4" t="s">
        <v>114</v>
      </c>
      <c r="C82" s="4" t="s">
        <v>20</v>
      </c>
      <c r="D82" s="7">
        <v>31</v>
      </c>
      <c r="E82" s="6">
        <v>3.5</v>
      </c>
      <c r="F82" s="6" t="str" cm="1">
        <f t="array" ref="F82">_xlfn.IFS(E82&gt;=3.5,"A",E82&gt;=3,"B",E82&gt;=2.5,"C",E82&gt;=2,"D",E82&lt;2,"F")</f>
        <v>A</v>
      </c>
      <c r="G82" s="4" t="s">
        <v>30</v>
      </c>
      <c r="H82" s="4" t="s">
        <v>27</v>
      </c>
      <c r="I82" s="4" t="s">
        <v>32</v>
      </c>
      <c r="J82" s="4" t="s">
        <v>18</v>
      </c>
      <c r="K82" s="4" t="s">
        <v>17</v>
      </c>
      <c r="L82" s="4" t="s">
        <v>17</v>
      </c>
    </row>
    <row r="83" spans="1:12" x14ac:dyDescent="0.35">
      <c r="A83" s="7">
        <v>82</v>
      </c>
      <c r="B83" s="4" t="s">
        <v>115</v>
      </c>
      <c r="C83" s="4" t="s">
        <v>12</v>
      </c>
      <c r="D83" s="7">
        <v>35</v>
      </c>
      <c r="E83" s="6">
        <v>3.9</v>
      </c>
      <c r="F83" s="6" t="str" cm="1">
        <f t="array" ref="F83">_xlfn.IFS(E83&gt;=3.5,"A",E83&gt;=3,"B",E83&gt;=2.5,"C",E83&gt;=2,"D",E83&lt;2,"F")</f>
        <v>A</v>
      </c>
      <c r="G83" s="4" t="s">
        <v>26</v>
      </c>
      <c r="H83" s="4" t="s">
        <v>72</v>
      </c>
      <c r="I83" s="4" t="s">
        <v>28</v>
      </c>
      <c r="J83" s="4" t="s">
        <v>24</v>
      </c>
      <c r="K83" s="4" t="s">
        <v>18</v>
      </c>
      <c r="L83" s="4" t="s">
        <v>17</v>
      </c>
    </row>
    <row r="84" spans="1:12" x14ac:dyDescent="0.35">
      <c r="A84" s="7">
        <v>83</v>
      </c>
      <c r="B84" s="4" t="s">
        <v>116</v>
      </c>
      <c r="C84" s="4" t="s">
        <v>12</v>
      </c>
      <c r="D84" s="7">
        <v>37</v>
      </c>
      <c r="E84" s="6">
        <v>3.8</v>
      </c>
      <c r="F84" s="6" t="str" cm="1">
        <f t="array" ref="F84">_xlfn.IFS(E84&gt;=3.5,"A",E84&gt;=3,"B",E84&gt;=2.5,"C",E84&gt;=2,"D",E84&lt;2,"F")</f>
        <v>A</v>
      </c>
      <c r="G84" s="4" t="s">
        <v>54</v>
      </c>
      <c r="H84" s="4" t="s">
        <v>77</v>
      </c>
      <c r="I84" s="4" t="s">
        <v>56</v>
      </c>
      <c r="J84" s="4" t="s">
        <v>18</v>
      </c>
      <c r="K84" s="4" t="s">
        <v>24</v>
      </c>
      <c r="L84" s="4" t="s">
        <v>17</v>
      </c>
    </row>
    <row r="85" spans="1:12" x14ac:dyDescent="0.35">
      <c r="A85" s="7">
        <v>84</v>
      </c>
      <c r="B85" s="4" t="s">
        <v>117</v>
      </c>
      <c r="C85" s="4" t="s">
        <v>20</v>
      </c>
      <c r="D85" s="7">
        <v>29</v>
      </c>
      <c r="E85" s="6">
        <v>3.7</v>
      </c>
      <c r="F85" s="6" t="str" cm="1">
        <f t="array" ref="F85">_xlfn.IFS(E85&gt;=3.5,"A",E85&gt;=3,"B",E85&gt;=2.5,"C",E85&gt;=2,"D",E85&lt;2,"F")</f>
        <v>A</v>
      </c>
      <c r="G85" s="4" t="s">
        <v>14</v>
      </c>
      <c r="H85" s="4" t="s">
        <v>58</v>
      </c>
      <c r="I85" s="4" t="s">
        <v>59</v>
      </c>
      <c r="J85" s="4" t="s">
        <v>17</v>
      </c>
      <c r="K85" s="4" t="s">
        <v>24</v>
      </c>
      <c r="L85" s="4" t="s">
        <v>18</v>
      </c>
    </row>
    <row r="86" spans="1:12" x14ac:dyDescent="0.35">
      <c r="A86" s="7">
        <v>85</v>
      </c>
      <c r="B86" s="4" t="s">
        <v>118</v>
      </c>
      <c r="C86" s="4" t="s">
        <v>12</v>
      </c>
      <c r="D86" s="7">
        <v>33</v>
      </c>
      <c r="E86" s="6">
        <v>3.6</v>
      </c>
      <c r="F86" s="6" t="str" cm="1">
        <f t="array" ref="F86">_xlfn.IFS(E86&gt;=3.5,"A",E86&gt;=3,"B",E86&gt;=2.5,"C",E86&gt;=2,"D",E86&lt;2,"F")</f>
        <v>A</v>
      </c>
      <c r="G86" s="4" t="s">
        <v>21</v>
      </c>
      <c r="H86" s="4" t="s">
        <v>38</v>
      </c>
      <c r="I86" s="4" t="s">
        <v>23</v>
      </c>
      <c r="J86" s="4" t="s">
        <v>24</v>
      </c>
      <c r="K86" s="4" t="s">
        <v>17</v>
      </c>
      <c r="L86" s="4" t="s">
        <v>18</v>
      </c>
    </row>
    <row r="87" spans="1:12" x14ac:dyDescent="0.35">
      <c r="A87" s="7">
        <v>86</v>
      </c>
      <c r="B87" s="4" t="s">
        <v>119</v>
      </c>
      <c r="C87" s="4" t="s">
        <v>12</v>
      </c>
      <c r="D87" s="7">
        <v>22</v>
      </c>
      <c r="E87" s="6">
        <v>3.7</v>
      </c>
      <c r="F87" s="6" t="str" cm="1">
        <f t="array" ref="F87">_xlfn.IFS(E87&gt;=3.5,"A",E87&gt;=3,"B",E87&gt;=2.5,"C",E87&gt;=2,"D",E87&lt;2,"F")</f>
        <v>A</v>
      </c>
      <c r="G87" s="4" t="s">
        <v>35</v>
      </c>
      <c r="H87" s="4" t="s">
        <v>120</v>
      </c>
      <c r="I87" s="4" t="s">
        <v>121</v>
      </c>
      <c r="J87" s="4" t="s">
        <v>17</v>
      </c>
      <c r="K87" s="4" t="s">
        <v>24</v>
      </c>
      <c r="L87" s="4" t="s">
        <v>18</v>
      </c>
    </row>
    <row r="88" spans="1:12" x14ac:dyDescent="0.35">
      <c r="A88" s="7">
        <v>87</v>
      </c>
      <c r="B88" s="4" t="s">
        <v>122</v>
      </c>
      <c r="C88" s="4" t="s">
        <v>20</v>
      </c>
      <c r="D88" s="7">
        <v>21</v>
      </c>
      <c r="E88" s="6">
        <v>3.6</v>
      </c>
      <c r="F88" s="6" t="str" cm="1">
        <f t="array" ref="F88">_xlfn.IFS(E88&gt;=3.5,"A",E88&gt;=3,"B",E88&gt;=2.5,"C",E88&gt;=2,"D",E88&lt;2,"F")</f>
        <v>A</v>
      </c>
      <c r="G88" s="4" t="s">
        <v>38</v>
      </c>
      <c r="H88" s="4" t="s">
        <v>123</v>
      </c>
      <c r="I88" s="4" t="s">
        <v>40</v>
      </c>
      <c r="J88" s="4" t="s">
        <v>17</v>
      </c>
      <c r="K88" s="4" t="s">
        <v>24</v>
      </c>
      <c r="L88" s="4" t="s">
        <v>18</v>
      </c>
    </row>
    <row r="89" spans="1:12" x14ac:dyDescent="0.35">
      <c r="A89" s="7">
        <v>88</v>
      </c>
      <c r="B89" s="4" t="s">
        <v>124</v>
      </c>
      <c r="C89" s="4" t="s">
        <v>12</v>
      </c>
      <c r="D89" s="7">
        <v>23</v>
      </c>
      <c r="E89" s="6">
        <v>3.8</v>
      </c>
      <c r="F89" s="6" t="str" cm="1">
        <f t="array" ref="F89">_xlfn.IFS(E89&gt;=3.5,"A",E89&gt;=3,"B",E89&gt;=2.5,"C",E89&gt;=2,"D",E89&lt;2,"F")</f>
        <v>A</v>
      </c>
      <c r="G89" s="4" t="s">
        <v>42</v>
      </c>
      <c r="H89" s="4" t="s">
        <v>125</v>
      </c>
      <c r="I89" s="4" t="s">
        <v>44</v>
      </c>
      <c r="J89" s="4" t="s">
        <v>24</v>
      </c>
      <c r="K89" s="4" t="s">
        <v>17</v>
      </c>
      <c r="L89" s="4" t="s">
        <v>18</v>
      </c>
    </row>
    <row r="90" spans="1:12" x14ac:dyDescent="0.35">
      <c r="A90" s="7">
        <v>89</v>
      </c>
      <c r="B90" s="4" t="s">
        <v>126</v>
      </c>
      <c r="C90" s="4" t="s">
        <v>20</v>
      </c>
      <c r="D90" s="7">
        <v>22</v>
      </c>
      <c r="E90" s="6">
        <v>3.5</v>
      </c>
      <c r="F90" s="6" t="str" cm="1">
        <f t="array" ref="F90">_xlfn.IFS(E90&gt;=3.5,"A",E90&gt;=3,"B",E90&gt;=2.5,"C",E90&gt;=2,"D",E90&lt;2,"F")</f>
        <v>A</v>
      </c>
      <c r="G90" s="4" t="s">
        <v>26</v>
      </c>
      <c r="H90" s="4" t="s">
        <v>127</v>
      </c>
      <c r="I90" s="4" t="s">
        <v>128</v>
      </c>
      <c r="J90" s="4" t="s">
        <v>18</v>
      </c>
      <c r="K90" s="4" t="s">
        <v>17</v>
      </c>
      <c r="L90" s="4" t="s">
        <v>24</v>
      </c>
    </row>
    <row r="91" spans="1:12" x14ac:dyDescent="0.35">
      <c r="A91" s="7">
        <v>90</v>
      </c>
      <c r="B91" s="4" t="s">
        <v>33</v>
      </c>
      <c r="C91" s="4" t="s">
        <v>12</v>
      </c>
      <c r="D91" s="7">
        <v>21</v>
      </c>
      <c r="E91" s="6">
        <v>3.9</v>
      </c>
      <c r="F91" s="6" t="str" cm="1">
        <f t="array" ref="F91">_xlfn.IFS(E91&gt;=3.5,"A",E91&gt;=3,"B",E91&gt;=2.5,"C",E91&gt;=2,"D",E91&lt;2,"F")</f>
        <v>A</v>
      </c>
      <c r="G91" s="4" t="s">
        <v>30</v>
      </c>
      <c r="H91" s="4" t="s">
        <v>129</v>
      </c>
      <c r="I91" s="4" t="s">
        <v>32</v>
      </c>
      <c r="J91" s="4" t="s">
        <v>17</v>
      </c>
      <c r="K91" s="4" t="s">
        <v>24</v>
      </c>
      <c r="L91" s="4" t="s">
        <v>18</v>
      </c>
    </row>
    <row r="92" spans="1:12" x14ac:dyDescent="0.35">
      <c r="A92" s="7">
        <v>91</v>
      </c>
      <c r="B92" s="4" t="s">
        <v>130</v>
      </c>
      <c r="C92" s="4" t="s">
        <v>20</v>
      </c>
      <c r="D92" s="7">
        <v>20</v>
      </c>
      <c r="E92" s="6">
        <v>3.7</v>
      </c>
      <c r="F92" s="6" t="str" cm="1">
        <f t="array" ref="F92">_xlfn.IFS(E92&gt;=3.5,"A",E92&gt;=3,"B",E92&gt;=2.5,"C",E92&gt;=2,"D",E92&lt;2,"F")</f>
        <v>A</v>
      </c>
      <c r="G92" s="4" t="s">
        <v>21</v>
      </c>
      <c r="H92" s="4" t="s">
        <v>131</v>
      </c>
      <c r="I92" s="4" t="s">
        <v>132</v>
      </c>
      <c r="J92" s="4" t="s">
        <v>17</v>
      </c>
      <c r="K92" s="4" t="s">
        <v>24</v>
      </c>
      <c r="L92" s="4" t="s">
        <v>18</v>
      </c>
    </row>
    <row r="93" spans="1:12" x14ac:dyDescent="0.35">
      <c r="A93" s="7">
        <v>92</v>
      </c>
      <c r="B93" s="4" t="s">
        <v>133</v>
      </c>
      <c r="C93" s="4" t="s">
        <v>12</v>
      </c>
      <c r="D93" s="7">
        <v>22</v>
      </c>
      <c r="E93" s="6">
        <v>3.4</v>
      </c>
      <c r="F93" s="6" t="str" cm="1">
        <f t="array" ref="F93">_xlfn.IFS(E93&gt;=3.5,"A",E93&gt;=3,"B",E93&gt;=2.5,"C",E93&gt;=2,"D",E93&lt;2,"F")</f>
        <v>B</v>
      </c>
      <c r="G93" s="4" t="s">
        <v>14</v>
      </c>
      <c r="H93" s="4" t="s">
        <v>134</v>
      </c>
      <c r="I93" s="4" t="s">
        <v>135</v>
      </c>
      <c r="J93" s="4" t="s">
        <v>17</v>
      </c>
      <c r="K93" s="4" t="s">
        <v>17</v>
      </c>
      <c r="L93" s="4" t="s">
        <v>18</v>
      </c>
    </row>
    <row r="94" spans="1:12" x14ac:dyDescent="0.35">
      <c r="A94" s="7">
        <v>93</v>
      </c>
      <c r="B94" s="4" t="s">
        <v>136</v>
      </c>
      <c r="C94" s="4" t="s">
        <v>20</v>
      </c>
      <c r="D94" s="7">
        <v>21</v>
      </c>
      <c r="E94" s="6">
        <v>3.5</v>
      </c>
      <c r="F94" s="6" t="str" cm="1">
        <f t="array" ref="F94">_xlfn.IFS(E94&gt;=3.5,"A",E94&gt;=3,"B",E94&gt;=2.5,"C",E94&gt;=2,"D",E94&lt;2,"F")</f>
        <v>A</v>
      </c>
      <c r="G94" s="4" t="s">
        <v>64</v>
      </c>
      <c r="H94" s="4" t="s">
        <v>137</v>
      </c>
      <c r="I94" s="4" t="s">
        <v>65</v>
      </c>
      <c r="J94" s="4" t="s">
        <v>18</v>
      </c>
      <c r="K94" s="4" t="s">
        <v>17</v>
      </c>
      <c r="L94" s="4" t="s">
        <v>24</v>
      </c>
    </row>
    <row r="95" spans="1:12" x14ac:dyDescent="0.35">
      <c r="A95" s="7">
        <v>94</v>
      </c>
      <c r="B95" s="4" t="s">
        <v>11</v>
      </c>
      <c r="C95" s="4" t="s">
        <v>12</v>
      </c>
      <c r="D95" s="7">
        <v>23</v>
      </c>
      <c r="E95" s="6">
        <v>3.6</v>
      </c>
      <c r="F95" s="6" t="str" cm="1">
        <f t="array" ref="F95">_xlfn.IFS(E95&gt;=3.5,"A",E95&gt;=3,"B",E95&gt;=2.5,"C",E95&gt;=2,"D",E95&lt;2,"F")</f>
        <v>A</v>
      </c>
      <c r="G95" s="4" t="s">
        <v>34</v>
      </c>
      <c r="H95" s="4" t="s">
        <v>138</v>
      </c>
      <c r="I95" s="4" t="s">
        <v>139</v>
      </c>
      <c r="J95" s="4" t="s">
        <v>17</v>
      </c>
      <c r="K95" s="4" t="s">
        <v>17</v>
      </c>
      <c r="L95" s="4" t="s">
        <v>24</v>
      </c>
    </row>
    <row r="96" spans="1:12" x14ac:dyDescent="0.35">
      <c r="A96" s="7">
        <v>95</v>
      </c>
      <c r="B96" s="4" t="s">
        <v>19</v>
      </c>
      <c r="C96" s="4" t="s">
        <v>20</v>
      </c>
      <c r="D96" s="7">
        <v>20</v>
      </c>
      <c r="E96" s="6">
        <v>3.2</v>
      </c>
      <c r="F96" s="6" t="str" cm="1">
        <f t="array" ref="F96">_xlfn.IFS(E96&gt;=3.5,"A",E96&gt;=3,"B",E96&gt;=2.5,"C",E96&gt;=2,"D",E96&lt;2,"F")</f>
        <v>B</v>
      </c>
      <c r="G96" s="4" t="s">
        <v>140</v>
      </c>
      <c r="H96" s="4" t="s">
        <v>141</v>
      </c>
      <c r="I96" s="4" t="s">
        <v>142</v>
      </c>
      <c r="J96" s="4" t="s">
        <v>17</v>
      </c>
      <c r="K96" s="4" t="s">
        <v>24</v>
      </c>
      <c r="L96" s="4" t="s">
        <v>18</v>
      </c>
    </row>
    <row r="97" spans="1:12" x14ac:dyDescent="0.35">
      <c r="A97" s="7">
        <v>96</v>
      </c>
      <c r="B97" s="4" t="s">
        <v>25</v>
      </c>
      <c r="C97" s="4" t="s">
        <v>12</v>
      </c>
      <c r="D97" s="7">
        <v>22</v>
      </c>
      <c r="E97" s="6">
        <v>3.8</v>
      </c>
      <c r="F97" s="6" t="str" cm="1">
        <f t="array" ref="F97">_xlfn.IFS(E97&gt;=3.5,"A",E97&gt;=3,"B",E97&gt;=2.5,"C",E97&gt;=2,"D",E97&lt;2,"F")</f>
        <v>A</v>
      </c>
      <c r="G97" s="4" t="s">
        <v>67</v>
      </c>
      <c r="H97" s="4" t="s">
        <v>143</v>
      </c>
      <c r="I97" s="4" t="s">
        <v>144</v>
      </c>
      <c r="J97" s="4" t="s">
        <v>17</v>
      </c>
      <c r="K97" s="4" t="s">
        <v>24</v>
      </c>
      <c r="L97" s="4" t="s">
        <v>18</v>
      </c>
    </row>
    <row r="98" spans="1:12" x14ac:dyDescent="0.35">
      <c r="A98" s="7">
        <v>97</v>
      </c>
      <c r="B98" s="4" t="s">
        <v>29</v>
      </c>
      <c r="C98" s="4" t="s">
        <v>20</v>
      </c>
      <c r="D98" s="7">
        <v>21</v>
      </c>
      <c r="E98" s="6">
        <v>3.7</v>
      </c>
      <c r="F98" s="6" t="str" cm="1">
        <f t="array" ref="F98">_xlfn.IFS(E98&gt;=3.5,"A",E98&gt;=3,"B",E98&gt;=2.5,"C",E98&gt;=2,"D",E98&lt;2,"F")</f>
        <v>A</v>
      </c>
      <c r="G98" s="4" t="s">
        <v>145</v>
      </c>
      <c r="H98" s="4" t="s">
        <v>146</v>
      </c>
      <c r="I98" s="4" t="s">
        <v>147</v>
      </c>
      <c r="J98" s="4" t="s">
        <v>18</v>
      </c>
      <c r="K98" s="4" t="s">
        <v>17</v>
      </c>
      <c r="L98" s="4" t="s">
        <v>17</v>
      </c>
    </row>
    <row r="99" spans="1:12" x14ac:dyDescent="0.35">
      <c r="A99" s="7">
        <v>98</v>
      </c>
      <c r="B99" s="4" t="s">
        <v>33</v>
      </c>
      <c r="C99" s="4" t="s">
        <v>12</v>
      </c>
      <c r="D99" s="7">
        <v>23</v>
      </c>
      <c r="E99" s="6">
        <v>3.4</v>
      </c>
      <c r="F99" s="6" t="str" cm="1">
        <f t="array" ref="F99">_xlfn.IFS(E99&gt;=3.5,"A",E99&gt;=3,"B",E99&gt;=2.5,"C",E99&gt;=2,"D",E99&lt;2,"F")</f>
        <v>B</v>
      </c>
      <c r="G99" s="4" t="s">
        <v>148</v>
      </c>
      <c r="H99" s="4" t="s">
        <v>149</v>
      </c>
      <c r="I99" s="4" t="s">
        <v>150</v>
      </c>
      <c r="J99" s="4" t="s">
        <v>18</v>
      </c>
      <c r="K99" s="4" t="s">
        <v>17</v>
      </c>
      <c r="L99" s="4" t="s">
        <v>24</v>
      </c>
    </row>
    <row r="100" spans="1:12" x14ac:dyDescent="0.35">
      <c r="A100" s="7">
        <v>99</v>
      </c>
      <c r="B100" s="4" t="s">
        <v>37</v>
      </c>
      <c r="C100" s="4" t="s">
        <v>20</v>
      </c>
      <c r="D100" s="7">
        <v>22</v>
      </c>
      <c r="E100" s="6">
        <v>3.9</v>
      </c>
      <c r="F100" s="6" t="str" cm="1">
        <f t="array" ref="F100">_xlfn.IFS(E100&gt;=3.5,"A",E100&gt;=3,"B",E100&gt;=2.5,"C",E100&gt;=2,"D",E100&lt;2,"F")</f>
        <v>A</v>
      </c>
      <c r="G100" s="4" t="s">
        <v>58</v>
      </c>
      <c r="H100" s="4" t="s">
        <v>15</v>
      </c>
      <c r="I100" s="4" t="s">
        <v>151</v>
      </c>
      <c r="J100" s="4" t="s">
        <v>17</v>
      </c>
      <c r="K100" s="4" t="s">
        <v>24</v>
      </c>
      <c r="L100" s="4" t="s">
        <v>18</v>
      </c>
    </row>
    <row r="101" spans="1:12" x14ac:dyDescent="0.35">
      <c r="A101" s="7">
        <v>100</v>
      </c>
      <c r="B101" s="4" t="s">
        <v>41</v>
      </c>
      <c r="C101" s="4" t="s">
        <v>12</v>
      </c>
      <c r="D101" s="7">
        <v>20</v>
      </c>
      <c r="E101" s="6">
        <v>3.6</v>
      </c>
      <c r="F101" s="6" t="str" cm="1">
        <f t="array" ref="F101">_xlfn.IFS(E101&gt;=3.5,"A",E101&gt;=3,"B",E101&gt;=2.5,"C",E101&gt;=2,"D",E101&lt;2,"F")</f>
        <v>A</v>
      </c>
      <c r="G101" s="4" t="s">
        <v>152</v>
      </c>
      <c r="H101" s="4" t="s">
        <v>153</v>
      </c>
      <c r="I101" s="4" t="s">
        <v>132</v>
      </c>
      <c r="J101" s="4" t="s">
        <v>17</v>
      </c>
      <c r="K101" s="4" t="s">
        <v>24</v>
      </c>
      <c r="L101" s="4" t="s">
        <v>18</v>
      </c>
    </row>
    <row r="102" spans="1:12" x14ac:dyDescent="0.35">
      <c r="A102" s="7">
        <v>101</v>
      </c>
      <c r="B102" s="4" t="s">
        <v>45</v>
      </c>
      <c r="C102" s="4" t="s">
        <v>20</v>
      </c>
      <c r="D102" s="7">
        <v>21</v>
      </c>
      <c r="E102" s="6">
        <v>3.7</v>
      </c>
      <c r="F102" s="6" t="str" cm="1">
        <f t="array" ref="F102">_xlfn.IFS(E102&gt;=3.5,"A",E102&gt;=3,"B",E102&gt;=2.5,"C",E102&gt;=2,"D",E102&lt;2,"F")</f>
        <v>A</v>
      </c>
      <c r="G102" s="4" t="s">
        <v>46</v>
      </c>
      <c r="H102" s="4" t="s">
        <v>154</v>
      </c>
      <c r="I102" s="4" t="s">
        <v>48</v>
      </c>
      <c r="J102" s="4" t="s">
        <v>18</v>
      </c>
      <c r="K102" s="4" t="s">
        <v>17</v>
      </c>
      <c r="L102" s="4" t="s">
        <v>24</v>
      </c>
    </row>
    <row r="103" spans="1:12" x14ac:dyDescent="0.35">
      <c r="A103" s="7">
        <v>102</v>
      </c>
      <c r="B103" s="4" t="s">
        <v>49</v>
      </c>
      <c r="C103" s="4" t="s">
        <v>12</v>
      </c>
      <c r="D103" s="7">
        <v>23</v>
      </c>
      <c r="E103" s="6">
        <v>3.3</v>
      </c>
      <c r="F103" s="6" t="str" cm="1">
        <f t="array" ref="F103">_xlfn.IFS(E103&gt;=3.5,"A",E103&gt;=3,"B",E103&gt;=2.5,"C",E103&gt;=2,"D",E103&lt;2,"F")</f>
        <v>B</v>
      </c>
      <c r="G103" s="4" t="s">
        <v>155</v>
      </c>
      <c r="H103" s="4" t="s">
        <v>156</v>
      </c>
      <c r="I103" s="4" t="s">
        <v>157</v>
      </c>
      <c r="J103" s="4" t="s">
        <v>17</v>
      </c>
      <c r="K103" s="4" t="s">
        <v>24</v>
      </c>
      <c r="L103" s="4" t="s">
        <v>18</v>
      </c>
    </row>
    <row r="104" spans="1:12" x14ac:dyDescent="0.35">
      <c r="A104" s="7">
        <v>103</v>
      </c>
      <c r="B104" s="4" t="s">
        <v>53</v>
      </c>
      <c r="C104" s="4" t="s">
        <v>20</v>
      </c>
      <c r="D104" s="7">
        <v>22</v>
      </c>
      <c r="E104" s="6">
        <v>3.5</v>
      </c>
      <c r="F104" s="6" t="str" cm="1">
        <f t="array" ref="F104">_xlfn.IFS(E104&gt;=3.5,"A",E104&gt;=3,"B",E104&gt;=2.5,"C",E104&gt;=2,"D",E104&lt;2,"F")</f>
        <v>A</v>
      </c>
      <c r="G104" s="4" t="s">
        <v>158</v>
      </c>
      <c r="H104" s="4" t="s">
        <v>159</v>
      </c>
      <c r="I104" s="4" t="s">
        <v>160</v>
      </c>
      <c r="J104" s="4" t="s">
        <v>18</v>
      </c>
      <c r="K104" s="4" t="s">
        <v>17</v>
      </c>
      <c r="L104" s="4" t="s">
        <v>24</v>
      </c>
    </row>
    <row r="105" spans="1:12" x14ac:dyDescent="0.35">
      <c r="A105" s="7">
        <v>104</v>
      </c>
      <c r="B105" s="4" t="s">
        <v>57</v>
      </c>
      <c r="C105" s="4" t="s">
        <v>12</v>
      </c>
      <c r="D105" s="7">
        <v>21</v>
      </c>
      <c r="E105" s="6">
        <v>3.8</v>
      </c>
      <c r="F105" s="6" t="str" cm="1">
        <f t="array" ref="F105">_xlfn.IFS(E105&gt;=3.5,"A",E105&gt;=3,"B",E105&gt;=2.5,"C",E105&gt;=2,"D",E105&lt;2,"F")</f>
        <v>A</v>
      </c>
      <c r="G105" s="4" t="s">
        <v>161</v>
      </c>
      <c r="H105" s="4" t="s">
        <v>162</v>
      </c>
      <c r="I105" s="4" t="s">
        <v>163</v>
      </c>
      <c r="J105" s="4" t="s">
        <v>17</v>
      </c>
      <c r="K105" s="4" t="s">
        <v>24</v>
      </c>
      <c r="L105" s="4" t="s">
        <v>18</v>
      </c>
    </row>
    <row r="106" spans="1:12" x14ac:dyDescent="0.35">
      <c r="A106" s="7">
        <v>105</v>
      </c>
      <c r="B106" s="4" t="s">
        <v>60</v>
      </c>
      <c r="C106" s="4" t="s">
        <v>12</v>
      </c>
      <c r="D106" s="7">
        <v>22</v>
      </c>
      <c r="E106" s="6">
        <v>3.7</v>
      </c>
      <c r="F106" s="6" t="str" cm="1">
        <f t="array" ref="F106">_xlfn.IFS(E106&gt;=3.5,"A",E106&gt;=3,"B",E106&gt;=2.5,"C",E106&gt;=2,"D",E106&lt;2,"F")</f>
        <v>A</v>
      </c>
      <c r="G106" s="4" t="s">
        <v>54</v>
      </c>
      <c r="H106" s="4" t="s">
        <v>164</v>
      </c>
      <c r="I106" s="4" t="s">
        <v>165</v>
      </c>
      <c r="J106" s="4" t="s">
        <v>18</v>
      </c>
      <c r="K106" s="4" t="s">
        <v>17</v>
      </c>
      <c r="L106" s="4" t="s">
        <v>24</v>
      </c>
    </row>
    <row r="107" spans="1:12" x14ac:dyDescent="0.35">
      <c r="A107" s="7">
        <v>106</v>
      </c>
      <c r="B107" s="4" t="s">
        <v>61</v>
      </c>
      <c r="C107" s="4" t="s">
        <v>20</v>
      </c>
      <c r="D107" s="7">
        <v>21</v>
      </c>
      <c r="E107" s="6">
        <v>3.3</v>
      </c>
      <c r="F107" s="6" t="str" cm="1">
        <f t="array" ref="F107">_xlfn.IFS(E107&gt;=3.5,"A",E107&gt;=3,"B",E107&gt;=2.5,"C",E107&gt;=2,"D",E107&lt;2,"F")</f>
        <v>B</v>
      </c>
      <c r="G107" s="4" t="s">
        <v>166</v>
      </c>
      <c r="H107" s="4" t="s">
        <v>167</v>
      </c>
      <c r="I107" s="4" t="s">
        <v>168</v>
      </c>
      <c r="J107" s="4" t="s">
        <v>18</v>
      </c>
      <c r="K107" s="4" t="s">
        <v>24</v>
      </c>
      <c r="L107" s="4" t="s">
        <v>17</v>
      </c>
    </row>
    <row r="108" spans="1:12" x14ac:dyDescent="0.35">
      <c r="A108" s="7">
        <v>107</v>
      </c>
      <c r="B108" s="4" t="s">
        <v>63</v>
      </c>
      <c r="C108" s="4" t="s">
        <v>12</v>
      </c>
      <c r="D108" s="7">
        <v>23</v>
      </c>
      <c r="E108" s="6">
        <v>3.5</v>
      </c>
      <c r="F108" s="6" t="str" cm="1">
        <f t="array" ref="F108">_xlfn.IFS(E108&gt;=3.5,"A",E108&gt;=3,"B",E108&gt;=2.5,"C",E108&gt;=2,"D",E108&lt;2,"F")</f>
        <v>A</v>
      </c>
      <c r="G108" s="4" t="s">
        <v>169</v>
      </c>
      <c r="H108" s="4" t="s">
        <v>170</v>
      </c>
      <c r="I108" s="4" t="s">
        <v>171</v>
      </c>
      <c r="J108" s="4" t="s">
        <v>18</v>
      </c>
      <c r="K108" s="4" t="s">
        <v>24</v>
      </c>
      <c r="L108" s="4" t="s">
        <v>17</v>
      </c>
    </row>
    <row r="109" spans="1:12" x14ac:dyDescent="0.35">
      <c r="A109" s="7">
        <v>108</v>
      </c>
      <c r="B109" s="4" t="s">
        <v>66</v>
      </c>
      <c r="C109" s="4" t="s">
        <v>20</v>
      </c>
      <c r="D109" s="7">
        <v>22</v>
      </c>
      <c r="E109" s="6">
        <v>3.8</v>
      </c>
      <c r="F109" s="6" t="str" cm="1">
        <f t="array" ref="F109">_xlfn.IFS(E109&gt;=3.5,"A",E109&gt;=3,"B",E109&gt;=2.5,"C",E109&gt;=2,"D",E109&lt;2,"F")</f>
        <v>A</v>
      </c>
      <c r="G109" s="4" t="s">
        <v>172</v>
      </c>
      <c r="H109" s="4" t="s">
        <v>173</v>
      </c>
      <c r="I109" s="4" t="s">
        <v>174</v>
      </c>
      <c r="J109" s="4" t="s">
        <v>18</v>
      </c>
      <c r="K109" s="4" t="s">
        <v>24</v>
      </c>
      <c r="L109" s="4" t="s">
        <v>17</v>
      </c>
    </row>
    <row r="110" spans="1:12" x14ac:dyDescent="0.35">
      <c r="A110" s="7">
        <v>109</v>
      </c>
      <c r="B110" s="4" t="s">
        <v>68</v>
      </c>
      <c r="C110" s="4" t="s">
        <v>12</v>
      </c>
      <c r="D110" s="7">
        <v>20</v>
      </c>
      <c r="E110" s="6">
        <v>3.6</v>
      </c>
      <c r="F110" s="6" t="str" cm="1">
        <f t="array" ref="F110">_xlfn.IFS(E110&gt;=3.5,"A",E110&gt;=3,"B",E110&gt;=2.5,"C",E110&gt;=2,"D",E110&lt;2,"F")</f>
        <v>A</v>
      </c>
      <c r="G110" s="4" t="s">
        <v>175</v>
      </c>
      <c r="H110" s="4" t="s">
        <v>176</v>
      </c>
      <c r="I110" s="4" t="s">
        <v>177</v>
      </c>
      <c r="J110" s="4" t="s">
        <v>18</v>
      </c>
      <c r="K110" s="4" t="s">
        <v>24</v>
      </c>
      <c r="L110" s="4" t="s">
        <v>17</v>
      </c>
    </row>
    <row r="111" spans="1:12" x14ac:dyDescent="0.35">
      <c r="A111" s="7">
        <v>110</v>
      </c>
      <c r="B111" s="4" t="s">
        <v>37</v>
      </c>
      <c r="C111" s="4" t="s">
        <v>20</v>
      </c>
      <c r="D111" s="7">
        <v>21</v>
      </c>
      <c r="E111" s="6">
        <v>3.9</v>
      </c>
      <c r="F111" s="6" t="str" cm="1">
        <f t="array" ref="F111">_xlfn.IFS(E111&gt;=3.5,"A",E111&gt;=3,"B",E111&gt;=2.5,"C",E111&gt;=2,"D",E111&lt;2,"F")</f>
        <v>A</v>
      </c>
      <c r="G111" s="4" t="s">
        <v>178</v>
      </c>
      <c r="H111" s="4" t="s">
        <v>179</v>
      </c>
      <c r="I111" s="4" t="s">
        <v>180</v>
      </c>
      <c r="J111" s="4" t="s">
        <v>18</v>
      </c>
      <c r="K111" s="4" t="s">
        <v>24</v>
      </c>
      <c r="L111" s="4" t="s">
        <v>17</v>
      </c>
    </row>
    <row r="112" spans="1:12" x14ac:dyDescent="0.35">
      <c r="A112" s="7">
        <v>111</v>
      </c>
      <c r="B112" s="4" t="s">
        <v>41</v>
      </c>
      <c r="C112" s="4" t="s">
        <v>12</v>
      </c>
      <c r="D112" s="7">
        <v>23</v>
      </c>
      <c r="E112" s="6">
        <v>3.6</v>
      </c>
      <c r="F112" s="6" t="str" cm="1">
        <f t="array" ref="F112">_xlfn.IFS(E112&gt;=3.5,"A",E112&gt;=3,"B",E112&gt;=2.5,"C",E112&gt;=2,"D",E112&lt;2,"F")</f>
        <v>A</v>
      </c>
      <c r="G112" s="4" t="s">
        <v>181</v>
      </c>
      <c r="H112" s="4" t="s">
        <v>182</v>
      </c>
      <c r="I112" s="4" t="s">
        <v>183</v>
      </c>
      <c r="J112" s="4" t="s">
        <v>18</v>
      </c>
      <c r="K112" s="4" t="s">
        <v>24</v>
      </c>
      <c r="L112" s="4" t="s">
        <v>17</v>
      </c>
    </row>
    <row r="113" spans="1:12" x14ac:dyDescent="0.35">
      <c r="A113" s="7">
        <v>112</v>
      </c>
      <c r="B113" s="4" t="s">
        <v>45</v>
      </c>
      <c r="C113" s="4" t="s">
        <v>20</v>
      </c>
      <c r="D113" s="7">
        <v>22</v>
      </c>
      <c r="E113" s="6">
        <v>3.7</v>
      </c>
      <c r="F113" s="6" t="str" cm="1">
        <f t="array" ref="F113">_xlfn.IFS(E113&gt;=3.5,"A",E113&gt;=3,"B",E113&gt;=2.5,"C",E113&gt;=2,"D",E113&lt;2,"F")</f>
        <v>A</v>
      </c>
      <c r="G113" s="4" t="s">
        <v>145</v>
      </c>
      <c r="H113" s="4" t="s">
        <v>184</v>
      </c>
      <c r="I113" s="4" t="s">
        <v>147</v>
      </c>
      <c r="J113" s="4" t="s">
        <v>18</v>
      </c>
      <c r="K113" s="4" t="s">
        <v>24</v>
      </c>
      <c r="L113" s="4" t="s">
        <v>17</v>
      </c>
    </row>
    <row r="114" spans="1:12" x14ac:dyDescent="0.35">
      <c r="A114" s="7">
        <v>113</v>
      </c>
      <c r="B114" s="4" t="s">
        <v>49</v>
      </c>
      <c r="C114" s="4" t="s">
        <v>12</v>
      </c>
      <c r="D114" s="7">
        <v>20</v>
      </c>
      <c r="E114" s="6">
        <v>3.3</v>
      </c>
      <c r="F114" s="6" t="str" cm="1">
        <f t="array" ref="F114">_xlfn.IFS(E114&gt;=3.5,"A",E114&gt;=3,"B",E114&gt;=2.5,"C",E114&gt;=2,"D",E114&lt;2,"F")</f>
        <v>B</v>
      </c>
      <c r="G114" s="4" t="s">
        <v>155</v>
      </c>
      <c r="H114" s="4" t="s">
        <v>185</v>
      </c>
      <c r="I114" s="4" t="s">
        <v>157</v>
      </c>
      <c r="J114" s="4" t="s">
        <v>18</v>
      </c>
      <c r="K114" s="4" t="s">
        <v>24</v>
      </c>
      <c r="L114" s="4" t="s">
        <v>17</v>
      </c>
    </row>
    <row r="115" spans="1:12" x14ac:dyDescent="0.35">
      <c r="A115" s="7">
        <v>114</v>
      </c>
      <c r="B115" s="4" t="s">
        <v>53</v>
      </c>
      <c r="C115" s="4" t="s">
        <v>20</v>
      </c>
      <c r="D115" s="7">
        <v>21</v>
      </c>
      <c r="E115" s="6">
        <v>3.5</v>
      </c>
      <c r="F115" s="6" t="str" cm="1">
        <f t="array" ref="F115">_xlfn.IFS(E115&gt;=3.5,"A",E115&gt;=3,"B",E115&gt;=2.5,"C",E115&gt;=2,"D",E115&lt;2,"F")</f>
        <v>A</v>
      </c>
      <c r="G115" s="4" t="s">
        <v>158</v>
      </c>
      <c r="H115" s="4" t="s">
        <v>186</v>
      </c>
      <c r="I115" s="4" t="s">
        <v>160</v>
      </c>
      <c r="J115" s="4" t="s">
        <v>18</v>
      </c>
      <c r="K115" s="4" t="s">
        <v>24</v>
      </c>
      <c r="L115" s="4" t="s">
        <v>17</v>
      </c>
    </row>
    <row r="116" spans="1:12" x14ac:dyDescent="0.35">
      <c r="A116" s="7">
        <v>115</v>
      </c>
      <c r="B116" s="4" t="s">
        <v>57</v>
      </c>
      <c r="C116" s="4" t="s">
        <v>12</v>
      </c>
      <c r="D116" s="7">
        <v>23</v>
      </c>
      <c r="E116" s="6">
        <v>3.8</v>
      </c>
      <c r="F116" s="6" t="str" cm="1">
        <f t="array" ref="F116">_xlfn.IFS(E116&gt;=3.5,"A",E116&gt;=3,"B",E116&gt;=2.5,"C",E116&gt;=2,"D",E116&lt;2,"F")</f>
        <v>A</v>
      </c>
      <c r="G116" s="4" t="s">
        <v>161</v>
      </c>
      <c r="H116" s="4" t="s">
        <v>162</v>
      </c>
      <c r="I116" s="4" t="s">
        <v>163</v>
      </c>
      <c r="J116" s="4" t="s">
        <v>18</v>
      </c>
      <c r="K116" s="4" t="s">
        <v>24</v>
      </c>
      <c r="L116" s="4" t="s">
        <v>17</v>
      </c>
    </row>
    <row r="117" spans="1:12" x14ac:dyDescent="0.35">
      <c r="A117" s="7">
        <v>116</v>
      </c>
      <c r="B117" s="4" t="s">
        <v>187</v>
      </c>
      <c r="C117" s="4" t="s">
        <v>20</v>
      </c>
      <c r="D117" s="7">
        <v>20</v>
      </c>
      <c r="E117" s="6">
        <v>3.6</v>
      </c>
      <c r="F117" s="6" t="str" cm="1">
        <f t="array" ref="F117">_xlfn.IFS(E117&gt;=3.5,"A",E117&gt;=3,"B",E117&gt;=2.5,"C",E117&gt;=2,"D",E117&lt;2,"F")</f>
        <v>A</v>
      </c>
      <c r="G117" s="4" t="s">
        <v>14</v>
      </c>
      <c r="H117" s="4" t="s">
        <v>188</v>
      </c>
      <c r="I117" s="4" t="s">
        <v>189</v>
      </c>
      <c r="J117" s="4" t="s">
        <v>17</v>
      </c>
      <c r="K117" s="4" t="s">
        <v>24</v>
      </c>
      <c r="L117" s="4" t="s">
        <v>18</v>
      </c>
    </row>
    <row r="118" spans="1:12" x14ac:dyDescent="0.35">
      <c r="A118" s="7">
        <v>117</v>
      </c>
      <c r="B118" s="4" t="s">
        <v>190</v>
      </c>
      <c r="C118" s="4" t="s">
        <v>12</v>
      </c>
      <c r="D118" s="7">
        <v>22</v>
      </c>
      <c r="E118" s="6">
        <v>3.4</v>
      </c>
      <c r="F118" s="6" t="str" cm="1">
        <f t="array" ref="F118">_xlfn.IFS(E118&gt;=3.5,"A",E118&gt;=3,"B",E118&gt;=2.5,"C",E118&gt;=2,"D",E118&lt;2,"F")</f>
        <v>B</v>
      </c>
      <c r="G118" s="4" t="s">
        <v>21</v>
      </c>
      <c r="H118" s="4" t="s">
        <v>191</v>
      </c>
      <c r="I118" s="4" t="s">
        <v>132</v>
      </c>
      <c r="J118" s="4" t="s">
        <v>24</v>
      </c>
      <c r="K118" s="4" t="s">
        <v>17</v>
      </c>
      <c r="L118" s="4" t="s">
        <v>18</v>
      </c>
    </row>
    <row r="119" spans="1:12" x14ac:dyDescent="0.35">
      <c r="A119" s="7">
        <v>118</v>
      </c>
      <c r="B119" s="4" t="s">
        <v>192</v>
      </c>
      <c r="C119" s="4" t="s">
        <v>20</v>
      </c>
      <c r="D119" s="7">
        <v>21</v>
      </c>
      <c r="E119" s="6">
        <v>3.9</v>
      </c>
      <c r="F119" s="6" t="str" cm="1">
        <f t="array" ref="F119">_xlfn.IFS(E119&gt;=3.5,"A",E119&gt;=3,"B",E119&gt;=2.5,"C",E119&gt;=2,"D",E119&lt;2,"F")</f>
        <v>A</v>
      </c>
      <c r="G119" s="4" t="s">
        <v>26</v>
      </c>
      <c r="H119" s="4" t="s">
        <v>50</v>
      </c>
      <c r="I119" s="4" t="s">
        <v>28</v>
      </c>
      <c r="J119" s="4" t="s">
        <v>17</v>
      </c>
      <c r="K119" s="4" t="s">
        <v>17</v>
      </c>
      <c r="L119" s="4" t="s">
        <v>24</v>
      </c>
    </row>
    <row r="120" spans="1:12" x14ac:dyDescent="0.35">
      <c r="A120" s="7">
        <v>119</v>
      </c>
      <c r="B120" s="4" t="s">
        <v>193</v>
      </c>
      <c r="C120" s="4" t="s">
        <v>12</v>
      </c>
      <c r="D120" s="7">
        <v>23</v>
      </c>
      <c r="E120" s="6">
        <v>3.7</v>
      </c>
      <c r="F120" s="6" t="str" cm="1">
        <f t="array" ref="F120">_xlfn.IFS(E120&gt;=3.5,"A",E120&gt;=3,"B",E120&gt;=2.5,"C",E120&gt;=2,"D",E120&lt;2,"F")</f>
        <v>A</v>
      </c>
      <c r="G120" s="4" t="s">
        <v>30</v>
      </c>
      <c r="H120" s="4" t="s">
        <v>27</v>
      </c>
      <c r="I120" s="4" t="s">
        <v>32</v>
      </c>
      <c r="J120" s="4" t="s">
        <v>18</v>
      </c>
      <c r="K120" s="4" t="s">
        <v>17</v>
      </c>
      <c r="L120" s="4" t="s">
        <v>17</v>
      </c>
    </row>
    <row r="121" spans="1:12" x14ac:dyDescent="0.35">
      <c r="A121" s="7">
        <v>120</v>
      </c>
      <c r="B121" s="4" t="s">
        <v>29</v>
      </c>
      <c r="C121" s="4" t="s">
        <v>20</v>
      </c>
      <c r="D121" s="7">
        <v>22</v>
      </c>
      <c r="E121" s="6">
        <v>3.5</v>
      </c>
      <c r="F121" s="6" t="str" cm="1">
        <f t="array" ref="F121">_xlfn.IFS(E121&gt;=3.5,"A",E121&gt;=3,"B",E121&gt;=2.5,"C",E121&gt;=2,"D",E121&lt;2,"F")</f>
        <v>A</v>
      </c>
      <c r="G121" s="4" t="s">
        <v>34</v>
      </c>
      <c r="H121" s="4" t="s">
        <v>35</v>
      </c>
      <c r="I121" s="4" t="s">
        <v>36</v>
      </c>
      <c r="J121" s="4" t="s">
        <v>24</v>
      </c>
      <c r="K121" s="4" t="s">
        <v>18</v>
      </c>
      <c r="L121" s="4" t="s">
        <v>17</v>
      </c>
    </row>
    <row r="122" spans="1:12" x14ac:dyDescent="0.35">
      <c r="A122" s="7">
        <v>121</v>
      </c>
      <c r="B122" s="4" t="s">
        <v>194</v>
      </c>
      <c r="C122" s="4" t="s">
        <v>12</v>
      </c>
      <c r="D122" s="7">
        <v>21</v>
      </c>
      <c r="E122" s="6">
        <v>3.8</v>
      </c>
      <c r="F122" s="6" t="str" cm="1">
        <f t="array" ref="F122">_xlfn.IFS(E122&gt;=3.5,"A",E122&gt;=3,"B",E122&gt;=2.5,"C",E122&gt;=2,"D",E122&lt;2,"F")</f>
        <v>A</v>
      </c>
      <c r="G122" s="4" t="s">
        <v>38</v>
      </c>
      <c r="H122" s="4" t="s">
        <v>195</v>
      </c>
      <c r="I122" s="4" t="s">
        <v>40</v>
      </c>
      <c r="J122" s="4" t="s">
        <v>17</v>
      </c>
      <c r="K122" s="4" t="s">
        <v>18</v>
      </c>
      <c r="L122" s="4" t="s">
        <v>18</v>
      </c>
    </row>
    <row r="123" spans="1:12" x14ac:dyDescent="0.35">
      <c r="A123" s="7">
        <v>122</v>
      </c>
      <c r="B123" s="4" t="s">
        <v>196</v>
      </c>
      <c r="C123" s="4" t="s">
        <v>20</v>
      </c>
      <c r="D123" s="7">
        <v>20</v>
      </c>
      <c r="E123" s="6">
        <v>3.7</v>
      </c>
      <c r="F123" s="6" t="str" cm="1">
        <f t="array" ref="F123">_xlfn.IFS(E123&gt;=3.5,"A",E123&gt;=3,"B",E123&gt;=2.5,"C",E123&gt;=2,"D",E123&lt;2,"F")</f>
        <v>A</v>
      </c>
      <c r="G123" s="4" t="s">
        <v>42</v>
      </c>
      <c r="H123" s="4" t="s">
        <v>197</v>
      </c>
      <c r="I123" s="4" t="s">
        <v>44</v>
      </c>
      <c r="J123" s="4" t="s">
        <v>18</v>
      </c>
      <c r="K123" s="4" t="s">
        <v>17</v>
      </c>
      <c r="L123" s="4" t="s">
        <v>24</v>
      </c>
    </row>
    <row r="124" spans="1:12" x14ac:dyDescent="0.35">
      <c r="A124" s="7">
        <v>123</v>
      </c>
      <c r="B124" s="4" t="s">
        <v>49</v>
      </c>
      <c r="C124" s="4" t="s">
        <v>12</v>
      </c>
      <c r="D124" s="7">
        <v>23</v>
      </c>
      <c r="E124" s="6">
        <v>3.3</v>
      </c>
      <c r="F124" s="6" t="str" cm="1">
        <f t="array" ref="F124">_xlfn.IFS(E124&gt;=3.5,"A",E124&gt;=3,"B",E124&gt;=2.5,"C",E124&gt;=2,"D",E124&lt;2,"F")</f>
        <v>B</v>
      </c>
      <c r="G124" s="4" t="s">
        <v>46</v>
      </c>
      <c r="H124" s="4" t="s">
        <v>198</v>
      </c>
      <c r="I124" s="4" t="s">
        <v>48</v>
      </c>
      <c r="J124" s="4" t="s">
        <v>17</v>
      </c>
      <c r="K124" s="4" t="s">
        <v>18</v>
      </c>
      <c r="L124" s="4" t="s">
        <v>18</v>
      </c>
    </row>
    <row r="125" spans="1:12" x14ac:dyDescent="0.35">
      <c r="A125" s="7">
        <v>124</v>
      </c>
      <c r="B125" s="4" t="s">
        <v>199</v>
      </c>
      <c r="C125" s="4" t="s">
        <v>20</v>
      </c>
      <c r="D125" s="7">
        <v>22</v>
      </c>
      <c r="E125" s="6">
        <v>3.5</v>
      </c>
      <c r="F125" s="6" t="str" cm="1">
        <f t="array" ref="F125">_xlfn.IFS(E125&gt;=3.5,"A",E125&gt;=3,"B",E125&gt;=2.5,"C",E125&gt;=2,"D",E125&lt;2,"F")</f>
        <v>A</v>
      </c>
      <c r="G125" s="4" t="s">
        <v>50</v>
      </c>
      <c r="H125" s="4" t="s">
        <v>200</v>
      </c>
      <c r="I125" s="4" t="s">
        <v>52</v>
      </c>
      <c r="J125" s="4" t="s">
        <v>24</v>
      </c>
      <c r="K125" s="4" t="s">
        <v>17</v>
      </c>
      <c r="L125" s="4" t="s">
        <v>18</v>
      </c>
    </row>
    <row r="126" spans="1:12" x14ac:dyDescent="0.35">
      <c r="A126" s="7">
        <v>125</v>
      </c>
      <c r="B126" s="4" t="s">
        <v>201</v>
      </c>
      <c r="C126" s="4" t="s">
        <v>12</v>
      </c>
      <c r="D126" s="7">
        <v>21</v>
      </c>
      <c r="E126" s="6">
        <v>3.8</v>
      </c>
      <c r="F126" s="6" t="str" cm="1">
        <f t="array" ref="F126">_xlfn.IFS(E126&gt;=3.5,"A",E126&gt;=3,"B",E126&gt;=2.5,"C",E126&gt;=2,"D",E126&lt;2,"F")</f>
        <v>A</v>
      </c>
      <c r="G126" s="4" t="s">
        <v>14</v>
      </c>
      <c r="H126" s="4" t="s">
        <v>58</v>
      </c>
      <c r="I126" s="4" t="s">
        <v>59</v>
      </c>
      <c r="J126" s="4" t="s">
        <v>17</v>
      </c>
      <c r="K126" s="4" t="s">
        <v>18</v>
      </c>
      <c r="L126" s="4" t="s">
        <v>18</v>
      </c>
    </row>
    <row r="127" spans="1:12" x14ac:dyDescent="0.35">
      <c r="A127" s="7">
        <v>126</v>
      </c>
      <c r="B127" s="4" t="s">
        <v>192</v>
      </c>
      <c r="C127" s="4" t="s">
        <v>20</v>
      </c>
      <c r="D127" s="7">
        <v>22</v>
      </c>
      <c r="E127" s="6">
        <v>3.7</v>
      </c>
      <c r="F127" s="6" t="str" cm="1">
        <f t="array" ref="F127">_xlfn.IFS(E127&gt;=3.5,"A",E127&gt;=3,"B",E127&gt;=2.5,"C",E127&gt;=2,"D",E127&lt;2,"F")</f>
        <v>A</v>
      </c>
      <c r="G127" s="4" t="s">
        <v>30</v>
      </c>
      <c r="H127" s="4" t="s">
        <v>31</v>
      </c>
      <c r="I127" s="4" t="s">
        <v>32</v>
      </c>
      <c r="J127" s="4" t="s">
        <v>18</v>
      </c>
      <c r="K127" s="4" t="s">
        <v>17</v>
      </c>
      <c r="L127" s="4" t="s">
        <v>17</v>
      </c>
    </row>
    <row r="128" spans="1:12" x14ac:dyDescent="0.35">
      <c r="A128" s="7">
        <v>127</v>
      </c>
      <c r="B128" s="4" t="s">
        <v>202</v>
      </c>
      <c r="C128" s="4" t="s">
        <v>12</v>
      </c>
      <c r="D128" s="7">
        <v>23</v>
      </c>
      <c r="E128" s="6">
        <v>3.3</v>
      </c>
      <c r="F128" s="6" t="str" cm="1">
        <f t="array" ref="F128">_xlfn.IFS(E128&gt;=3.5,"A",E128&gt;=3,"B",E128&gt;=2.5,"C",E128&gt;=2,"D",E128&lt;2,"F")</f>
        <v>B</v>
      </c>
      <c r="G128" s="4" t="s">
        <v>50</v>
      </c>
      <c r="H128" s="4" t="s">
        <v>203</v>
      </c>
      <c r="I128" s="4" t="s">
        <v>52</v>
      </c>
      <c r="J128" s="4" t="s">
        <v>24</v>
      </c>
      <c r="K128" s="4" t="s">
        <v>18</v>
      </c>
      <c r="L128" s="4" t="s">
        <v>17</v>
      </c>
    </row>
    <row r="129" spans="1:12" x14ac:dyDescent="0.35">
      <c r="A129" s="7">
        <v>128</v>
      </c>
      <c r="B129" s="4" t="s">
        <v>204</v>
      </c>
      <c r="C129" s="4" t="s">
        <v>20</v>
      </c>
      <c r="D129" s="7">
        <v>20</v>
      </c>
      <c r="E129" s="6">
        <v>3.5</v>
      </c>
      <c r="F129" s="6" t="str" cm="1">
        <f t="array" ref="F129">_xlfn.IFS(E129&gt;=3.5,"A",E129&gt;=3,"B",E129&gt;=2.5,"C",E129&gt;=2,"D",E129&lt;2,"F")</f>
        <v>A</v>
      </c>
      <c r="G129" s="4" t="s">
        <v>54</v>
      </c>
      <c r="H129" s="4" t="s">
        <v>88</v>
      </c>
      <c r="I129" s="4" t="s">
        <v>56</v>
      </c>
      <c r="J129" s="4" t="s">
        <v>18</v>
      </c>
      <c r="K129" s="4" t="s">
        <v>24</v>
      </c>
      <c r="L129" s="4" t="s">
        <v>17</v>
      </c>
    </row>
    <row r="130" spans="1:12" x14ac:dyDescent="0.35">
      <c r="A130" s="7">
        <v>129</v>
      </c>
      <c r="B130" s="4" t="s">
        <v>205</v>
      </c>
      <c r="C130" s="4" t="s">
        <v>12</v>
      </c>
      <c r="D130" s="7">
        <v>22</v>
      </c>
      <c r="E130" s="6">
        <v>3.8</v>
      </c>
      <c r="F130" s="6" t="str" cm="1">
        <f t="array" ref="F130">_xlfn.IFS(E130&gt;=3.5,"A",E130&gt;=3,"B",E130&gt;=2.5,"C",E130&gt;=2,"D",E130&lt;2,"F")</f>
        <v>A</v>
      </c>
      <c r="G130" s="4" t="s">
        <v>67</v>
      </c>
      <c r="H130" s="4" t="s">
        <v>206</v>
      </c>
      <c r="I130" s="4" t="s">
        <v>28</v>
      </c>
      <c r="J130" s="4" t="s">
        <v>17</v>
      </c>
      <c r="K130" s="4" t="s">
        <v>17</v>
      </c>
      <c r="L130" s="4" t="s">
        <v>24</v>
      </c>
    </row>
    <row r="131" spans="1:12" x14ac:dyDescent="0.35">
      <c r="A131" s="7">
        <v>130</v>
      </c>
      <c r="B131" s="4" t="s">
        <v>207</v>
      </c>
      <c r="C131" s="4" t="s">
        <v>20</v>
      </c>
      <c r="D131" s="7">
        <v>21</v>
      </c>
      <c r="E131" s="6">
        <v>3.7</v>
      </c>
      <c r="F131" s="6" t="str" cm="1">
        <f t="array" ref="F131">_xlfn.IFS(E131&gt;=3.5,"A",E131&gt;=3,"B",E131&gt;=2.5,"C",E131&gt;=2,"D",E131&lt;2,"F")</f>
        <v>A</v>
      </c>
      <c r="G131" s="4" t="s">
        <v>34</v>
      </c>
      <c r="H131" s="4" t="s">
        <v>35</v>
      </c>
      <c r="I131" s="4" t="s">
        <v>36</v>
      </c>
      <c r="J131" s="4" t="s">
        <v>24</v>
      </c>
      <c r="K131" s="4" t="s">
        <v>18</v>
      </c>
      <c r="L131" s="4" t="s">
        <v>17</v>
      </c>
    </row>
    <row r="132" spans="1:12" x14ac:dyDescent="0.35">
      <c r="A132" s="7">
        <v>131</v>
      </c>
      <c r="B132" s="4" t="s">
        <v>208</v>
      </c>
      <c r="C132" s="4" t="s">
        <v>12</v>
      </c>
      <c r="D132" s="7">
        <v>23</v>
      </c>
      <c r="E132" s="6">
        <v>3.3</v>
      </c>
      <c r="F132" s="6" t="str" cm="1">
        <f t="array" ref="F132">_xlfn.IFS(E132&gt;=3.5,"A",E132&gt;=3,"B",E132&gt;=2.5,"C",E132&gt;=2,"D",E132&lt;2,"F")</f>
        <v>B</v>
      </c>
      <c r="G132" s="4" t="s">
        <v>42</v>
      </c>
      <c r="H132" s="4" t="s">
        <v>43</v>
      </c>
      <c r="I132" s="4" t="s">
        <v>44</v>
      </c>
      <c r="J132" s="4" t="s">
        <v>24</v>
      </c>
      <c r="K132" s="4" t="s">
        <v>17</v>
      </c>
      <c r="L132" s="4" t="s">
        <v>18</v>
      </c>
    </row>
    <row r="133" spans="1:12" x14ac:dyDescent="0.35">
      <c r="A133" s="7">
        <v>132</v>
      </c>
      <c r="B133" s="4" t="s">
        <v>209</v>
      </c>
      <c r="C133" s="4" t="s">
        <v>20</v>
      </c>
      <c r="D133" s="7">
        <v>22</v>
      </c>
      <c r="E133" s="6">
        <v>3.5</v>
      </c>
      <c r="F133" s="6" t="str" cm="1">
        <f t="array" ref="F133">_xlfn.IFS(E133&gt;=3.5,"A",E133&gt;=3,"B",E133&gt;=2.5,"C",E133&gt;=2,"D",E133&lt;2,"F")</f>
        <v>A</v>
      </c>
      <c r="G133" s="4" t="s">
        <v>46</v>
      </c>
      <c r="H133" s="4" t="s">
        <v>47</v>
      </c>
      <c r="I133" s="4" t="s">
        <v>48</v>
      </c>
      <c r="J133" s="4" t="s">
        <v>18</v>
      </c>
      <c r="K133" s="4" t="s">
        <v>17</v>
      </c>
      <c r="L133" s="4" t="s">
        <v>24</v>
      </c>
    </row>
    <row r="134" spans="1:12" x14ac:dyDescent="0.35">
      <c r="A134" s="7">
        <v>133</v>
      </c>
      <c r="B134" s="4" t="s">
        <v>210</v>
      </c>
      <c r="C134" s="4" t="s">
        <v>12</v>
      </c>
      <c r="D134" s="7">
        <v>21</v>
      </c>
      <c r="E134" s="6">
        <v>3.8</v>
      </c>
      <c r="F134" s="6" t="str" cm="1">
        <f t="array" ref="F134">_xlfn.IFS(E134&gt;=3.5,"A",E134&gt;=3,"B",E134&gt;=2.5,"C",E134&gt;=2,"D",E134&lt;2,"F")</f>
        <v>A</v>
      </c>
      <c r="G134" s="4" t="s">
        <v>14</v>
      </c>
      <c r="H134" s="4" t="s">
        <v>140</v>
      </c>
      <c r="I134" s="4" t="s">
        <v>189</v>
      </c>
      <c r="J134" s="4" t="s">
        <v>17</v>
      </c>
      <c r="K134" s="4" t="s">
        <v>24</v>
      </c>
      <c r="L134" s="4" t="s">
        <v>18</v>
      </c>
    </row>
    <row r="135" spans="1:12" x14ac:dyDescent="0.35">
      <c r="A135" s="7">
        <v>134</v>
      </c>
      <c r="B135" s="4" t="s">
        <v>119</v>
      </c>
      <c r="C135" s="4" t="s">
        <v>12</v>
      </c>
      <c r="D135" s="7">
        <v>23</v>
      </c>
      <c r="E135" s="6">
        <v>3.7</v>
      </c>
      <c r="F135" s="6" t="str" cm="1">
        <f t="array" ref="F135">_xlfn.IFS(E135&gt;=3.5,"A",E135&gt;=3,"B",E135&gt;=2.5,"C",E135&gt;=2,"D",E135&lt;2,"F")</f>
        <v>A</v>
      </c>
      <c r="G135" s="4" t="s">
        <v>21</v>
      </c>
      <c r="H135" s="4" t="s">
        <v>38</v>
      </c>
      <c r="I135" s="4" t="s">
        <v>23</v>
      </c>
      <c r="J135" s="4" t="s">
        <v>24</v>
      </c>
      <c r="K135" s="4" t="s">
        <v>17</v>
      </c>
      <c r="L135" s="4" t="s">
        <v>18</v>
      </c>
    </row>
    <row r="136" spans="1:12" x14ac:dyDescent="0.35">
      <c r="A136" s="7">
        <v>135</v>
      </c>
      <c r="B136" s="4" t="s">
        <v>211</v>
      </c>
      <c r="C136" s="4" t="s">
        <v>20</v>
      </c>
      <c r="D136" s="7">
        <v>20</v>
      </c>
      <c r="E136" s="6">
        <v>3.6</v>
      </c>
      <c r="F136" s="6" t="str" cm="1">
        <f t="array" ref="F136">_xlfn.IFS(E136&gt;=3.5,"A",E136&gt;=3,"B",E136&gt;=2.5,"C",E136&gt;=2,"D",E136&lt;2,"F")</f>
        <v>A</v>
      </c>
      <c r="G136" s="4" t="s">
        <v>26</v>
      </c>
      <c r="H136" s="4" t="s">
        <v>212</v>
      </c>
      <c r="I136" s="4" t="s">
        <v>28</v>
      </c>
      <c r="J136" s="4" t="s">
        <v>17</v>
      </c>
      <c r="K136" s="4" t="s">
        <v>18</v>
      </c>
      <c r="L136" s="4" t="s">
        <v>17</v>
      </c>
    </row>
    <row r="137" spans="1:12" x14ac:dyDescent="0.35">
      <c r="A137" s="7">
        <v>136</v>
      </c>
      <c r="B137" s="4" t="s">
        <v>213</v>
      </c>
      <c r="C137" s="4" t="s">
        <v>12</v>
      </c>
      <c r="D137" s="7">
        <v>22</v>
      </c>
      <c r="E137" s="6">
        <v>3.4</v>
      </c>
      <c r="F137" s="6" t="str" cm="1">
        <f t="array" ref="F137">_xlfn.IFS(E137&gt;=3.5,"A",E137&gt;=3,"B",E137&gt;=2.5,"C",E137&gt;=2,"D",E137&lt;2,"F")</f>
        <v>B</v>
      </c>
      <c r="G137" s="4" t="s">
        <v>30</v>
      </c>
      <c r="H137" s="4" t="s">
        <v>27</v>
      </c>
      <c r="I137" s="4" t="s">
        <v>32</v>
      </c>
      <c r="J137" s="4" t="s">
        <v>18</v>
      </c>
      <c r="K137" s="4" t="s">
        <v>17</v>
      </c>
      <c r="L137" s="4" t="s">
        <v>17</v>
      </c>
    </row>
    <row r="138" spans="1:12" x14ac:dyDescent="0.35">
      <c r="A138" s="7">
        <v>137</v>
      </c>
      <c r="B138" s="4" t="s">
        <v>122</v>
      </c>
      <c r="C138" s="4" t="s">
        <v>20</v>
      </c>
      <c r="D138" s="7">
        <v>21</v>
      </c>
      <c r="E138" s="6">
        <v>3.9</v>
      </c>
      <c r="F138" s="6" t="str" cm="1">
        <f t="array" ref="F138">_xlfn.IFS(E138&gt;=3.5,"A",E138&gt;=3,"B",E138&gt;=2.5,"C",E138&gt;=2,"D",E138&lt;2,"F")</f>
        <v>A</v>
      </c>
      <c r="G138" s="4" t="s">
        <v>34</v>
      </c>
      <c r="H138" s="4" t="s">
        <v>214</v>
      </c>
      <c r="I138" s="4" t="s">
        <v>36</v>
      </c>
      <c r="J138" s="4" t="s">
        <v>17</v>
      </c>
      <c r="K138" s="4" t="s">
        <v>24</v>
      </c>
      <c r="L138" s="4" t="s">
        <v>18</v>
      </c>
    </row>
    <row r="139" spans="1:12" x14ac:dyDescent="0.35">
      <c r="A139" s="7">
        <v>138</v>
      </c>
      <c r="B139" s="4" t="s">
        <v>124</v>
      </c>
      <c r="C139" s="4" t="s">
        <v>12</v>
      </c>
      <c r="D139" s="7">
        <v>23</v>
      </c>
      <c r="E139" s="6">
        <v>3.7</v>
      </c>
      <c r="F139" s="6" t="str" cm="1">
        <f t="array" ref="F139">_xlfn.IFS(E139&gt;=3.5,"A",E139&gt;=3,"B",E139&gt;=2.5,"C",E139&gt;=2,"D",E139&lt;2,"F")</f>
        <v>A</v>
      </c>
      <c r="G139" s="4" t="s">
        <v>38</v>
      </c>
      <c r="H139" s="4" t="s">
        <v>58</v>
      </c>
      <c r="I139" s="4" t="s">
        <v>40</v>
      </c>
      <c r="J139" s="4" t="s">
        <v>17</v>
      </c>
      <c r="K139" s="4" t="s">
        <v>24</v>
      </c>
      <c r="L139" s="4" t="s">
        <v>18</v>
      </c>
    </row>
    <row r="140" spans="1:12" x14ac:dyDescent="0.35">
      <c r="A140" s="7">
        <v>139</v>
      </c>
      <c r="B140" s="4" t="s">
        <v>126</v>
      </c>
      <c r="C140" s="4" t="s">
        <v>20</v>
      </c>
      <c r="D140" s="7">
        <v>22</v>
      </c>
      <c r="E140" s="6">
        <v>3.5</v>
      </c>
      <c r="F140" s="6" t="str" cm="1">
        <f t="array" ref="F140">_xlfn.IFS(E140&gt;=3.5,"A",E140&gt;=3,"B",E140&gt;=2.5,"C",E140&gt;=2,"D",E140&lt;2,"F")</f>
        <v>A</v>
      </c>
      <c r="G140" s="4" t="s">
        <v>42</v>
      </c>
      <c r="H140" s="4" t="s">
        <v>215</v>
      </c>
      <c r="I140" s="4" t="s">
        <v>44</v>
      </c>
      <c r="J140" s="4" t="s">
        <v>18</v>
      </c>
      <c r="K140" s="4" t="s">
        <v>17</v>
      </c>
      <c r="L140" s="4" t="s">
        <v>24</v>
      </c>
    </row>
    <row r="141" spans="1:12" x14ac:dyDescent="0.35">
      <c r="A141" s="7">
        <v>140</v>
      </c>
      <c r="B141" s="4" t="s">
        <v>33</v>
      </c>
      <c r="C141" s="4" t="s">
        <v>12</v>
      </c>
      <c r="D141" s="7">
        <v>21</v>
      </c>
      <c r="E141" s="6">
        <v>3.8</v>
      </c>
      <c r="F141" s="6" t="str" cm="1">
        <f t="array" ref="F141">_xlfn.IFS(E141&gt;=3.5,"A",E141&gt;=3,"B",E141&gt;=2.5,"C",E141&gt;=2,"D",E141&lt;2,"F")</f>
        <v>A</v>
      </c>
      <c r="G141" s="4" t="s">
        <v>46</v>
      </c>
      <c r="H141" s="4" t="s">
        <v>216</v>
      </c>
      <c r="I141" s="4" t="s">
        <v>48</v>
      </c>
      <c r="J141" s="4" t="s">
        <v>17</v>
      </c>
      <c r="K141" s="4" t="s">
        <v>17</v>
      </c>
      <c r="L141" s="4" t="s">
        <v>18</v>
      </c>
    </row>
    <row r="142" spans="1:12" x14ac:dyDescent="0.35">
      <c r="A142" s="7">
        <v>141</v>
      </c>
      <c r="B142" s="4" t="s">
        <v>130</v>
      </c>
      <c r="C142" s="4" t="s">
        <v>20</v>
      </c>
      <c r="D142" s="7">
        <v>20</v>
      </c>
      <c r="E142" s="6">
        <v>3.7</v>
      </c>
      <c r="F142" s="6" t="str" cm="1">
        <f t="array" ref="F142">_xlfn.IFS(E142&gt;=3.5,"A",E142&gt;=3,"B",E142&gt;=2.5,"C",E142&gt;=2,"D",E142&lt;2,"F")</f>
        <v>A</v>
      </c>
      <c r="G142" s="4" t="s">
        <v>50</v>
      </c>
      <c r="H142" s="4" t="s">
        <v>217</v>
      </c>
      <c r="I142" s="4" t="s">
        <v>52</v>
      </c>
      <c r="J142" s="4" t="s">
        <v>18</v>
      </c>
      <c r="K142" s="4" t="s">
        <v>17</v>
      </c>
      <c r="L142" s="4" t="s">
        <v>24</v>
      </c>
    </row>
    <row r="143" spans="1:12" x14ac:dyDescent="0.35">
      <c r="A143" s="7">
        <v>142</v>
      </c>
      <c r="B143" s="4" t="s">
        <v>133</v>
      </c>
      <c r="C143" s="4" t="s">
        <v>12</v>
      </c>
      <c r="D143" s="7">
        <v>23</v>
      </c>
      <c r="E143" s="6">
        <v>3.3</v>
      </c>
      <c r="F143" s="6" t="str" cm="1">
        <f t="array" ref="F143">_xlfn.IFS(E143&gt;=3.5,"A",E143&gt;=3,"B",E143&gt;=2.5,"C",E143&gt;=2,"D",E143&lt;2,"F")</f>
        <v>B</v>
      </c>
      <c r="G143" s="4" t="s">
        <v>14</v>
      </c>
      <c r="H143" s="4" t="s">
        <v>218</v>
      </c>
      <c r="I143" s="4" t="s">
        <v>189</v>
      </c>
      <c r="J143" s="4" t="s">
        <v>17</v>
      </c>
      <c r="K143" s="4" t="s">
        <v>18</v>
      </c>
      <c r="L143" s="4" t="s">
        <v>24</v>
      </c>
    </row>
    <row r="144" spans="1:12" x14ac:dyDescent="0.35">
      <c r="A144" s="7">
        <v>143</v>
      </c>
      <c r="B144" s="4" t="s">
        <v>136</v>
      </c>
      <c r="C144" s="4" t="s">
        <v>20</v>
      </c>
      <c r="D144" s="7">
        <v>22</v>
      </c>
      <c r="E144" s="6">
        <v>3.5</v>
      </c>
      <c r="F144" s="6" t="str" cm="1">
        <f t="array" ref="F144">_xlfn.IFS(E144&gt;=3.5,"A",E144&gt;=3,"B",E144&gt;=2.5,"C",E144&gt;=2,"D",E144&lt;2,"F")</f>
        <v>A</v>
      </c>
      <c r="G144" s="4" t="s">
        <v>21</v>
      </c>
      <c r="H144" s="4" t="s">
        <v>152</v>
      </c>
      <c r="I144" s="4" t="s">
        <v>132</v>
      </c>
      <c r="J144" s="4" t="s">
        <v>24</v>
      </c>
      <c r="K144" s="4" t="s">
        <v>18</v>
      </c>
      <c r="L144" s="4" t="s">
        <v>17</v>
      </c>
    </row>
    <row r="145" spans="1:12" x14ac:dyDescent="0.35">
      <c r="A145" s="7">
        <v>144</v>
      </c>
      <c r="B145" s="4" t="s">
        <v>11</v>
      </c>
      <c r="C145" s="4" t="s">
        <v>12</v>
      </c>
      <c r="D145" s="7">
        <v>21</v>
      </c>
      <c r="E145" s="6">
        <v>3.6</v>
      </c>
      <c r="F145" s="6" t="str" cm="1">
        <f t="array" ref="F145">_xlfn.IFS(E145&gt;=3.5,"A",E145&gt;=3,"B",E145&gt;=2.5,"C",E145&gt;=2,"D",E145&lt;2,"F")</f>
        <v>A</v>
      </c>
      <c r="G145" s="4" t="s">
        <v>30</v>
      </c>
      <c r="H145" s="4" t="s">
        <v>129</v>
      </c>
      <c r="I145" s="4" t="s">
        <v>32</v>
      </c>
      <c r="J145" s="4" t="s">
        <v>18</v>
      </c>
      <c r="K145" s="4" t="s">
        <v>17</v>
      </c>
      <c r="L145" s="4" t="s">
        <v>24</v>
      </c>
    </row>
    <row r="146" spans="1:12" x14ac:dyDescent="0.35">
      <c r="A146" s="7">
        <v>145</v>
      </c>
      <c r="B146" s="4" t="s">
        <v>19</v>
      </c>
      <c r="C146" s="4" t="s">
        <v>20</v>
      </c>
      <c r="D146" s="7">
        <v>20</v>
      </c>
      <c r="E146" s="6">
        <v>3.7</v>
      </c>
      <c r="F146" s="6" t="str" cm="1">
        <f t="array" ref="F146">_xlfn.IFS(E146&gt;=3.5,"A",E146&gt;=3,"B",E146&gt;=2.5,"C",E146&gt;=2,"D",E146&lt;2,"F")</f>
        <v>A</v>
      </c>
      <c r="G146" s="4" t="s">
        <v>38</v>
      </c>
      <c r="H146" s="4" t="s">
        <v>140</v>
      </c>
      <c r="I146" s="4" t="s">
        <v>40</v>
      </c>
      <c r="J146" s="4" t="s">
        <v>17</v>
      </c>
      <c r="K146" s="4" t="s">
        <v>24</v>
      </c>
      <c r="L146" s="4" t="s">
        <v>18</v>
      </c>
    </row>
    <row r="147" spans="1:12" x14ac:dyDescent="0.35">
      <c r="A147" s="7">
        <v>146</v>
      </c>
      <c r="B147" s="4" t="s">
        <v>219</v>
      </c>
      <c r="C147" s="4" t="s">
        <v>20</v>
      </c>
      <c r="D147" s="7">
        <v>22</v>
      </c>
      <c r="E147" s="6">
        <v>3.7</v>
      </c>
      <c r="F147" s="6" t="str" cm="1">
        <f t="array" ref="F147">_xlfn.IFS(E147&gt;=3.5,"A",E147&gt;=3,"B",E147&gt;=2.5,"C",E147&gt;=2,"D",E147&lt;2,"F")</f>
        <v>A</v>
      </c>
      <c r="G147" s="4" t="s">
        <v>14</v>
      </c>
      <c r="H147" s="4" t="s">
        <v>218</v>
      </c>
      <c r="I147" s="4" t="s">
        <v>189</v>
      </c>
      <c r="J147" s="4" t="s">
        <v>17</v>
      </c>
      <c r="K147" s="4" t="s">
        <v>24</v>
      </c>
      <c r="L147" s="4" t="s">
        <v>18</v>
      </c>
    </row>
    <row r="148" spans="1:12" x14ac:dyDescent="0.35">
      <c r="A148" s="7">
        <v>147</v>
      </c>
      <c r="B148" s="4" t="s">
        <v>220</v>
      </c>
      <c r="C148" s="4" t="s">
        <v>12</v>
      </c>
      <c r="D148" s="7">
        <v>21</v>
      </c>
      <c r="E148" s="6">
        <v>3.6</v>
      </c>
      <c r="F148" s="6" t="str" cm="1">
        <f t="array" ref="F148">_xlfn.IFS(E148&gt;=3.5,"A",E148&gt;=3,"B",E148&gt;=2.5,"C",E148&gt;=2,"D",E148&lt;2,"F")</f>
        <v>A</v>
      </c>
      <c r="G148" s="4" t="s">
        <v>21</v>
      </c>
      <c r="H148" s="4" t="s">
        <v>38</v>
      </c>
      <c r="I148" s="4" t="s">
        <v>23</v>
      </c>
      <c r="J148" s="4" t="s">
        <v>17</v>
      </c>
      <c r="K148" s="4" t="s">
        <v>24</v>
      </c>
      <c r="L148" s="4" t="s">
        <v>18</v>
      </c>
    </row>
    <row r="149" spans="1:12" x14ac:dyDescent="0.35">
      <c r="A149" s="7">
        <v>148</v>
      </c>
      <c r="B149" s="4" t="s">
        <v>221</v>
      </c>
      <c r="C149" s="4" t="s">
        <v>20</v>
      </c>
      <c r="D149" s="7">
        <v>20</v>
      </c>
      <c r="E149" s="6">
        <v>3.8</v>
      </c>
      <c r="F149" s="6" t="str" cm="1">
        <f t="array" ref="F149">_xlfn.IFS(E149&gt;=3.5,"A",E149&gt;=3,"B",E149&gt;=2.5,"C",E149&gt;=2,"D",E149&lt;2,"F")</f>
        <v>A</v>
      </c>
      <c r="G149" s="4" t="s">
        <v>26</v>
      </c>
      <c r="H149" s="4" t="s">
        <v>50</v>
      </c>
      <c r="I149" s="4" t="s">
        <v>28</v>
      </c>
      <c r="J149" s="4" t="s">
        <v>17</v>
      </c>
      <c r="K149" s="4" t="s">
        <v>17</v>
      </c>
      <c r="L149" s="4" t="s">
        <v>24</v>
      </c>
    </row>
    <row r="150" spans="1:12" x14ac:dyDescent="0.35">
      <c r="A150" s="7">
        <v>149</v>
      </c>
      <c r="B150" s="4" t="s">
        <v>222</v>
      </c>
      <c r="C150" s="4" t="s">
        <v>12</v>
      </c>
      <c r="D150" s="7">
        <v>23</v>
      </c>
      <c r="E150" s="6">
        <v>3.7</v>
      </c>
      <c r="F150" s="6" t="str" cm="1">
        <f t="array" ref="F150">_xlfn.IFS(E150&gt;=3.5,"A",E150&gt;=3,"B",E150&gt;=2.5,"C",E150&gt;=2,"D",E150&lt;2,"F")</f>
        <v>A</v>
      </c>
      <c r="G150" s="4" t="s">
        <v>30</v>
      </c>
      <c r="H150" s="4" t="s">
        <v>27</v>
      </c>
      <c r="I150" s="4" t="s">
        <v>32</v>
      </c>
      <c r="J150" s="4" t="s">
        <v>18</v>
      </c>
      <c r="K150" s="4" t="s">
        <v>17</v>
      </c>
      <c r="L150" s="4" t="s">
        <v>17</v>
      </c>
    </row>
    <row r="151" spans="1:12" x14ac:dyDescent="0.35">
      <c r="A151" s="7">
        <v>150</v>
      </c>
      <c r="B151" s="4" t="s">
        <v>126</v>
      </c>
      <c r="C151" s="4" t="s">
        <v>20</v>
      </c>
      <c r="D151" s="7">
        <v>22</v>
      </c>
      <c r="E151" s="6">
        <v>3.5</v>
      </c>
      <c r="F151" s="6" t="str" cm="1">
        <f t="array" ref="F151">_xlfn.IFS(E151&gt;=3.5,"A",E151&gt;=3,"B",E151&gt;=2.5,"C",E151&gt;=2,"D",E151&lt;2,"F")</f>
        <v>A</v>
      </c>
      <c r="G151" s="4" t="s">
        <v>34</v>
      </c>
      <c r="H151" s="4" t="s">
        <v>35</v>
      </c>
      <c r="I151" s="4" t="s">
        <v>36</v>
      </c>
      <c r="J151" s="4" t="s">
        <v>24</v>
      </c>
      <c r="K151" s="4" t="s">
        <v>18</v>
      </c>
      <c r="L151" s="4" t="s">
        <v>17</v>
      </c>
    </row>
    <row r="152" spans="1:12" x14ac:dyDescent="0.35">
      <c r="A152" s="7">
        <v>151</v>
      </c>
      <c r="B152" s="4" t="s">
        <v>202</v>
      </c>
      <c r="C152" s="4" t="s">
        <v>12</v>
      </c>
      <c r="D152" s="7">
        <v>21</v>
      </c>
      <c r="E152" s="6">
        <v>3.9</v>
      </c>
      <c r="F152" s="6" t="str" cm="1">
        <f t="array" ref="F152">_xlfn.IFS(E152&gt;=3.5,"A",E152&gt;=3,"B",E152&gt;=2.5,"C",E152&gt;=2,"D",E152&lt;2,"F")</f>
        <v>A</v>
      </c>
      <c r="G152" s="4" t="s">
        <v>38</v>
      </c>
      <c r="H152" s="4" t="s">
        <v>195</v>
      </c>
      <c r="I152" s="4" t="s">
        <v>40</v>
      </c>
      <c r="J152" s="4" t="s">
        <v>17</v>
      </c>
      <c r="K152" s="4" t="s">
        <v>24</v>
      </c>
      <c r="L152" s="4" t="s">
        <v>18</v>
      </c>
    </row>
    <row r="153" spans="1:12" x14ac:dyDescent="0.35">
      <c r="A153" s="7">
        <v>152</v>
      </c>
      <c r="B153" s="4" t="s">
        <v>219</v>
      </c>
      <c r="C153" s="4" t="s">
        <v>20</v>
      </c>
      <c r="D153" s="7">
        <v>22</v>
      </c>
      <c r="E153" s="6">
        <v>3.7</v>
      </c>
      <c r="F153" s="6" t="str" cm="1">
        <f t="array" ref="F153">_xlfn.IFS(E153&gt;=3.5,"A",E153&gt;=3,"B",E153&gt;=2.5,"C",E153&gt;=2,"D",E153&lt;2,"F")</f>
        <v>A</v>
      </c>
      <c r="G153" s="4" t="s">
        <v>42</v>
      </c>
      <c r="H153" s="4" t="s">
        <v>197</v>
      </c>
      <c r="I153" s="4" t="s">
        <v>44</v>
      </c>
      <c r="J153" s="4" t="s">
        <v>18</v>
      </c>
      <c r="K153" s="4" t="s">
        <v>17</v>
      </c>
      <c r="L153" s="4" t="s">
        <v>24</v>
      </c>
    </row>
    <row r="154" spans="1:12" x14ac:dyDescent="0.35">
      <c r="A154" s="7">
        <v>153</v>
      </c>
      <c r="B154" s="4" t="s">
        <v>49</v>
      </c>
      <c r="C154" s="4" t="s">
        <v>12</v>
      </c>
      <c r="D154" s="7">
        <v>20</v>
      </c>
      <c r="E154" s="6">
        <v>3.6</v>
      </c>
      <c r="F154" s="6" t="str" cm="1">
        <f t="array" ref="F154">_xlfn.IFS(E154&gt;=3.5,"A",E154&gt;=3,"B",E154&gt;=2.5,"C",E154&gt;=2,"D",E154&lt;2,"F")</f>
        <v>A</v>
      </c>
      <c r="G154" s="4" t="s">
        <v>46</v>
      </c>
      <c r="H154" s="4" t="s">
        <v>198</v>
      </c>
      <c r="I154" s="4" t="s">
        <v>48</v>
      </c>
      <c r="J154" s="4" t="s">
        <v>17</v>
      </c>
      <c r="K154" s="4" t="s">
        <v>18</v>
      </c>
      <c r="L154" s="4" t="s">
        <v>18</v>
      </c>
    </row>
    <row r="155" spans="1:12" x14ac:dyDescent="0.35">
      <c r="A155" s="7">
        <v>154</v>
      </c>
      <c r="B155" s="4" t="s">
        <v>53</v>
      </c>
      <c r="C155" s="4" t="s">
        <v>20</v>
      </c>
      <c r="D155" s="7">
        <v>21</v>
      </c>
      <c r="E155" s="6">
        <v>3.5</v>
      </c>
      <c r="F155" s="6" t="str" cm="1">
        <f t="array" ref="F155">_xlfn.IFS(E155&gt;=3.5,"A",E155&gt;=3,"B",E155&gt;=2.5,"C",E155&gt;=2,"D",E155&lt;2,"F")</f>
        <v>A</v>
      </c>
      <c r="G155" s="4" t="s">
        <v>50</v>
      </c>
      <c r="H155" s="4" t="s">
        <v>200</v>
      </c>
      <c r="I155" s="4" t="s">
        <v>52</v>
      </c>
      <c r="J155" s="4" t="s">
        <v>18</v>
      </c>
      <c r="K155" s="4" t="s">
        <v>17</v>
      </c>
      <c r="L155" s="4" t="s">
        <v>24</v>
      </c>
    </row>
    <row r="156" spans="1:12" x14ac:dyDescent="0.35">
      <c r="A156" s="7">
        <v>155</v>
      </c>
      <c r="B156" s="4" t="s">
        <v>201</v>
      </c>
      <c r="C156" s="4" t="s">
        <v>12</v>
      </c>
      <c r="D156" s="7">
        <v>23</v>
      </c>
      <c r="E156" s="6">
        <v>3.8</v>
      </c>
      <c r="F156" s="6" t="str" cm="1">
        <f t="array" ref="F156">_xlfn.IFS(E156&gt;=3.5,"A",E156&gt;=3,"B",E156&gt;=2.5,"C",E156&gt;=2,"D",E156&lt;2,"F")</f>
        <v>A</v>
      </c>
      <c r="G156" s="4" t="s">
        <v>14</v>
      </c>
      <c r="H156" s="4" t="s">
        <v>58</v>
      </c>
      <c r="I156" s="4" t="s">
        <v>59</v>
      </c>
      <c r="J156" s="4" t="s">
        <v>17</v>
      </c>
      <c r="K156" s="4" t="s">
        <v>18</v>
      </c>
      <c r="L156" s="4" t="s">
        <v>18</v>
      </c>
    </row>
    <row r="157" spans="1:12" x14ac:dyDescent="0.35">
      <c r="A157" s="7">
        <v>156</v>
      </c>
      <c r="B157" s="4" t="s">
        <v>223</v>
      </c>
      <c r="C157" s="4" t="s">
        <v>12</v>
      </c>
      <c r="D157" s="7">
        <v>22</v>
      </c>
      <c r="E157" s="6">
        <v>3.7</v>
      </c>
      <c r="F157" s="6" t="str" cm="1">
        <f t="array" ref="F157">_xlfn.IFS(E157&gt;=3.5,"A",E157&gt;=3,"B",E157&gt;=2.5,"C",E157&gt;=2,"D",E157&lt;2,"F")</f>
        <v>A</v>
      </c>
      <c r="G157" s="4" t="s">
        <v>30</v>
      </c>
      <c r="H157" s="4" t="s">
        <v>31</v>
      </c>
      <c r="I157" s="4" t="s">
        <v>32</v>
      </c>
      <c r="J157" s="4" t="s">
        <v>18</v>
      </c>
      <c r="K157" s="4" t="s">
        <v>17</v>
      </c>
      <c r="L157" s="4" t="s">
        <v>17</v>
      </c>
    </row>
    <row r="158" spans="1:12" x14ac:dyDescent="0.35">
      <c r="A158" s="7">
        <v>157</v>
      </c>
      <c r="B158" s="4" t="s">
        <v>209</v>
      </c>
      <c r="C158" s="4" t="s">
        <v>20</v>
      </c>
      <c r="D158" s="7">
        <v>20</v>
      </c>
      <c r="E158" s="6">
        <v>3.6</v>
      </c>
      <c r="F158" s="6" t="str" cm="1">
        <f t="array" ref="F158">_xlfn.IFS(E158&gt;=3.5,"A",E158&gt;=3,"B",E158&gt;=2.5,"C",E158&gt;=2,"D",E158&lt;2,"F")</f>
        <v>A</v>
      </c>
      <c r="G158" s="4" t="s">
        <v>34</v>
      </c>
      <c r="H158" s="4" t="s">
        <v>214</v>
      </c>
      <c r="I158" s="4" t="s">
        <v>36</v>
      </c>
      <c r="J158" s="4" t="s">
        <v>17</v>
      </c>
      <c r="K158" s="4" t="s">
        <v>24</v>
      </c>
      <c r="L158" s="4" t="s">
        <v>18</v>
      </c>
    </row>
    <row r="159" spans="1:12" x14ac:dyDescent="0.35">
      <c r="A159" s="7">
        <v>158</v>
      </c>
      <c r="B159" s="4" t="s">
        <v>124</v>
      </c>
      <c r="C159" s="4" t="s">
        <v>12</v>
      </c>
      <c r="D159" s="7">
        <v>21</v>
      </c>
      <c r="E159" s="6">
        <v>3.4</v>
      </c>
      <c r="F159" s="6" t="str" cm="1">
        <f t="array" ref="F159">_xlfn.IFS(E159&gt;=3.5,"A",E159&gt;=3,"B",E159&gt;=2.5,"C",E159&gt;=2,"D",E159&lt;2,"F")</f>
        <v>B</v>
      </c>
      <c r="G159" s="4" t="s">
        <v>38</v>
      </c>
      <c r="H159" s="4" t="s">
        <v>58</v>
      </c>
      <c r="I159" s="4" t="s">
        <v>40</v>
      </c>
      <c r="J159" s="4" t="s">
        <v>17</v>
      </c>
      <c r="K159" s="4" t="s">
        <v>24</v>
      </c>
      <c r="L159" s="4" t="s">
        <v>18</v>
      </c>
    </row>
    <row r="160" spans="1:12" x14ac:dyDescent="0.35">
      <c r="A160" s="7">
        <v>159</v>
      </c>
      <c r="B160" s="4" t="s">
        <v>126</v>
      </c>
      <c r="C160" s="4" t="s">
        <v>20</v>
      </c>
      <c r="D160" s="7">
        <v>22</v>
      </c>
      <c r="E160" s="6">
        <v>3.5</v>
      </c>
      <c r="F160" s="6" t="str" cm="1">
        <f t="array" ref="F160">_xlfn.IFS(E160&gt;=3.5,"A",E160&gt;=3,"B",E160&gt;=2.5,"C",E160&gt;=2,"D",E160&lt;2,"F")</f>
        <v>A</v>
      </c>
      <c r="G160" s="4" t="s">
        <v>42</v>
      </c>
      <c r="H160" s="4" t="s">
        <v>215</v>
      </c>
      <c r="I160" s="4" t="s">
        <v>44</v>
      </c>
      <c r="J160" s="4" t="s">
        <v>18</v>
      </c>
      <c r="K160" s="4" t="s">
        <v>17</v>
      </c>
      <c r="L160" s="4" t="s">
        <v>24</v>
      </c>
    </row>
    <row r="161" spans="1:12" x14ac:dyDescent="0.35">
      <c r="A161" s="7">
        <v>160</v>
      </c>
      <c r="B161" s="4" t="s">
        <v>33</v>
      </c>
      <c r="C161" s="4" t="s">
        <v>12</v>
      </c>
      <c r="D161" s="7">
        <v>23</v>
      </c>
      <c r="E161" s="6">
        <v>3.7</v>
      </c>
      <c r="F161" s="6" t="str" cm="1">
        <f t="array" ref="F161">_xlfn.IFS(E161&gt;=3.5,"A",E161&gt;=3,"B",E161&gt;=2.5,"C",E161&gt;=2,"D",E161&lt;2,"F")</f>
        <v>A</v>
      </c>
      <c r="G161" s="4" t="s">
        <v>46</v>
      </c>
      <c r="H161" s="4" t="s">
        <v>216</v>
      </c>
      <c r="I161" s="4" t="s">
        <v>48</v>
      </c>
      <c r="J161" s="4" t="s">
        <v>17</v>
      </c>
      <c r="K161" s="4" t="s">
        <v>17</v>
      </c>
      <c r="L161" s="4" t="s">
        <v>18</v>
      </c>
    </row>
    <row r="162" spans="1:12" x14ac:dyDescent="0.35">
      <c r="A162" s="7">
        <v>161</v>
      </c>
      <c r="B162" s="4" t="s">
        <v>130</v>
      </c>
      <c r="C162" s="4" t="s">
        <v>20</v>
      </c>
      <c r="D162" s="7">
        <v>20</v>
      </c>
      <c r="E162" s="6">
        <v>3.8</v>
      </c>
      <c r="F162" s="6" t="str" cm="1">
        <f t="array" ref="F162">_xlfn.IFS(E162&gt;=3.5,"A",E162&gt;=3,"B",E162&gt;=2.5,"C",E162&gt;=2,"D",E162&lt;2,"F")</f>
        <v>A</v>
      </c>
      <c r="G162" s="4" t="s">
        <v>50</v>
      </c>
      <c r="H162" s="4" t="s">
        <v>217</v>
      </c>
      <c r="I162" s="4" t="s">
        <v>52</v>
      </c>
      <c r="J162" s="4" t="s">
        <v>18</v>
      </c>
      <c r="K162" s="4" t="s">
        <v>17</v>
      </c>
      <c r="L162" s="4" t="s">
        <v>24</v>
      </c>
    </row>
    <row r="163" spans="1:12" x14ac:dyDescent="0.35">
      <c r="A163" s="7">
        <v>162</v>
      </c>
      <c r="B163" s="4" t="s">
        <v>133</v>
      </c>
      <c r="C163" s="4" t="s">
        <v>12</v>
      </c>
      <c r="D163" s="7">
        <v>21</v>
      </c>
      <c r="E163" s="6">
        <v>3.7</v>
      </c>
      <c r="F163" s="6" t="str" cm="1">
        <f t="array" ref="F163">_xlfn.IFS(E163&gt;=3.5,"A",E163&gt;=3,"B",E163&gt;=2.5,"C",E163&gt;=2,"D",E163&lt;2,"F")</f>
        <v>A</v>
      </c>
      <c r="G163" s="4" t="s">
        <v>14</v>
      </c>
      <c r="H163" s="4" t="s">
        <v>218</v>
      </c>
      <c r="I163" s="4" t="s">
        <v>189</v>
      </c>
      <c r="J163" s="4" t="s">
        <v>17</v>
      </c>
      <c r="K163" s="4" t="s">
        <v>18</v>
      </c>
      <c r="L163" s="4" t="s">
        <v>24</v>
      </c>
    </row>
    <row r="164" spans="1:12" x14ac:dyDescent="0.35">
      <c r="A164" s="7">
        <v>163</v>
      </c>
      <c r="B164" s="4" t="s">
        <v>136</v>
      </c>
      <c r="C164" s="4" t="s">
        <v>20</v>
      </c>
      <c r="D164" s="7">
        <v>22</v>
      </c>
      <c r="E164" s="6">
        <v>3.5</v>
      </c>
      <c r="F164" s="6" t="str" cm="1">
        <f t="array" ref="F164">_xlfn.IFS(E164&gt;=3.5,"A",E164&gt;=3,"B",E164&gt;=2.5,"C",E164&gt;=2,"D",E164&lt;2,"F")</f>
        <v>A</v>
      </c>
      <c r="G164" s="4" t="s">
        <v>21</v>
      </c>
      <c r="H164" s="4" t="s">
        <v>152</v>
      </c>
      <c r="I164" s="4" t="s">
        <v>132</v>
      </c>
      <c r="J164" s="4" t="s">
        <v>24</v>
      </c>
      <c r="K164" s="4" t="s">
        <v>18</v>
      </c>
      <c r="L164" s="4" t="s">
        <v>17</v>
      </c>
    </row>
    <row r="165" spans="1:12" x14ac:dyDescent="0.35">
      <c r="A165" s="7">
        <v>164</v>
      </c>
      <c r="B165" s="4" t="s">
        <v>11</v>
      </c>
      <c r="C165" s="4" t="s">
        <v>12</v>
      </c>
      <c r="D165" s="7">
        <v>23</v>
      </c>
      <c r="E165" s="6">
        <v>3.6</v>
      </c>
      <c r="F165" s="6" t="str" cm="1">
        <f t="array" ref="F165">_xlfn.IFS(E165&gt;=3.5,"A",E165&gt;=3,"B",E165&gt;=2.5,"C",E165&gt;=2,"D",E165&lt;2,"F")</f>
        <v>A</v>
      </c>
      <c r="G165" s="4" t="s">
        <v>30</v>
      </c>
      <c r="H165" s="4" t="s">
        <v>129</v>
      </c>
      <c r="I165" s="4" t="s">
        <v>32</v>
      </c>
      <c r="J165" s="4" t="s">
        <v>18</v>
      </c>
      <c r="K165" s="4" t="s">
        <v>17</v>
      </c>
      <c r="L165" s="4" t="s">
        <v>24</v>
      </c>
    </row>
    <row r="166" spans="1:12" x14ac:dyDescent="0.35">
      <c r="A166" s="7">
        <v>165</v>
      </c>
      <c r="B166" s="4" t="s">
        <v>19</v>
      </c>
      <c r="C166" s="4" t="s">
        <v>20</v>
      </c>
      <c r="D166" s="7">
        <v>20</v>
      </c>
      <c r="E166" s="6">
        <v>3.7</v>
      </c>
      <c r="F166" s="6" t="str" cm="1">
        <f t="array" ref="F166">_xlfn.IFS(E166&gt;=3.5,"A",E166&gt;=3,"B",E166&gt;=2.5,"C",E166&gt;=2,"D",E166&lt;2,"F")</f>
        <v>A</v>
      </c>
      <c r="G166" s="4" t="s">
        <v>38</v>
      </c>
      <c r="H166" s="4" t="s">
        <v>140</v>
      </c>
      <c r="I166" s="4" t="s">
        <v>40</v>
      </c>
      <c r="J166" s="4" t="s">
        <v>17</v>
      </c>
      <c r="K166" s="4" t="s">
        <v>24</v>
      </c>
      <c r="L166" s="4" t="s">
        <v>18</v>
      </c>
    </row>
    <row r="167" spans="1:12" x14ac:dyDescent="0.35">
      <c r="A167" s="7">
        <v>166</v>
      </c>
      <c r="B167" s="4" t="s">
        <v>219</v>
      </c>
      <c r="C167" s="4" t="s">
        <v>20</v>
      </c>
      <c r="D167" s="7">
        <v>22</v>
      </c>
      <c r="E167" s="6">
        <v>3.7</v>
      </c>
      <c r="F167" s="6" t="str" cm="1">
        <f t="array" ref="F167">_xlfn.IFS(E167&gt;=3.5,"A",E167&gt;=3,"B",E167&gt;=2.5,"C",E167&gt;=2,"D",E167&lt;2,"F")</f>
        <v>A</v>
      </c>
      <c r="G167" s="4" t="s">
        <v>14</v>
      </c>
      <c r="H167" s="4" t="s">
        <v>188</v>
      </c>
      <c r="I167" s="4" t="s">
        <v>189</v>
      </c>
      <c r="J167" s="4" t="s">
        <v>17</v>
      </c>
      <c r="K167" s="4" t="s">
        <v>24</v>
      </c>
      <c r="L167" s="4" t="s">
        <v>18</v>
      </c>
    </row>
    <row r="168" spans="1:12" x14ac:dyDescent="0.35">
      <c r="A168" s="7">
        <v>167</v>
      </c>
      <c r="B168" s="4" t="s">
        <v>220</v>
      </c>
      <c r="C168" s="4" t="s">
        <v>12</v>
      </c>
      <c r="D168" s="7">
        <v>21</v>
      </c>
      <c r="E168" s="6">
        <v>3.6</v>
      </c>
      <c r="F168" s="6" t="str" cm="1">
        <f t="array" ref="F168">_xlfn.IFS(E168&gt;=3.5,"A",E168&gt;=3,"B",E168&gt;=2.5,"C",E168&gt;=2,"D",E168&lt;2,"F")</f>
        <v>A</v>
      </c>
      <c r="G168" s="4" t="s">
        <v>21</v>
      </c>
      <c r="H168" s="4" t="s">
        <v>191</v>
      </c>
      <c r="I168" s="4" t="s">
        <v>132</v>
      </c>
      <c r="J168" s="4" t="s">
        <v>24</v>
      </c>
      <c r="K168" s="4" t="s">
        <v>17</v>
      </c>
      <c r="L168" s="4" t="s">
        <v>18</v>
      </c>
    </row>
    <row r="169" spans="1:12" x14ac:dyDescent="0.35">
      <c r="A169" s="7">
        <v>168</v>
      </c>
      <c r="B169" s="4" t="s">
        <v>221</v>
      </c>
      <c r="C169" s="4" t="s">
        <v>20</v>
      </c>
      <c r="D169" s="7">
        <v>20</v>
      </c>
      <c r="E169" s="6">
        <v>3.8</v>
      </c>
      <c r="F169" s="6" t="str" cm="1">
        <f t="array" ref="F169">_xlfn.IFS(E169&gt;=3.5,"A",E169&gt;=3,"B",E169&gt;=2.5,"C",E169&gt;=2,"D",E169&lt;2,"F")</f>
        <v>A</v>
      </c>
      <c r="G169" s="4" t="s">
        <v>26</v>
      </c>
      <c r="H169" s="4" t="s">
        <v>50</v>
      </c>
      <c r="I169" s="4" t="s">
        <v>28</v>
      </c>
      <c r="J169" s="4" t="s">
        <v>17</v>
      </c>
      <c r="K169" s="4" t="s">
        <v>17</v>
      </c>
      <c r="L169" s="4" t="s">
        <v>24</v>
      </c>
    </row>
    <row r="170" spans="1:12" x14ac:dyDescent="0.35">
      <c r="A170" s="7">
        <v>169</v>
      </c>
      <c r="B170" s="4" t="s">
        <v>222</v>
      </c>
      <c r="C170" s="4" t="s">
        <v>12</v>
      </c>
      <c r="D170" s="7">
        <v>23</v>
      </c>
      <c r="E170" s="6">
        <v>3.7</v>
      </c>
      <c r="F170" s="6" t="str" cm="1">
        <f t="array" ref="F170">_xlfn.IFS(E170&gt;=3.5,"A",E170&gt;=3,"B",E170&gt;=2.5,"C",E170&gt;=2,"D",E170&lt;2,"F")</f>
        <v>A</v>
      </c>
      <c r="G170" s="4" t="s">
        <v>30</v>
      </c>
      <c r="H170" s="4" t="s">
        <v>27</v>
      </c>
      <c r="I170" s="4" t="s">
        <v>32</v>
      </c>
      <c r="J170" s="4" t="s">
        <v>18</v>
      </c>
      <c r="K170" s="4" t="s">
        <v>17</v>
      </c>
      <c r="L170" s="4" t="s">
        <v>17</v>
      </c>
    </row>
    <row r="171" spans="1:12" x14ac:dyDescent="0.35">
      <c r="A171" s="7">
        <v>170</v>
      </c>
      <c r="B171" s="4" t="s">
        <v>126</v>
      </c>
      <c r="C171" s="4" t="s">
        <v>20</v>
      </c>
      <c r="D171" s="7">
        <v>22</v>
      </c>
      <c r="E171" s="6">
        <v>3.5</v>
      </c>
      <c r="F171" s="6" t="str" cm="1">
        <f t="array" ref="F171">_xlfn.IFS(E171&gt;=3.5,"A",E171&gt;=3,"B",E171&gt;=2.5,"C",E171&gt;=2,"D",E171&lt;2,"F")</f>
        <v>A</v>
      </c>
      <c r="G171" s="4" t="s">
        <v>34</v>
      </c>
      <c r="H171" s="4" t="s">
        <v>35</v>
      </c>
      <c r="I171" s="4" t="s">
        <v>36</v>
      </c>
      <c r="J171" s="4" t="s">
        <v>24</v>
      </c>
      <c r="K171" s="4" t="s">
        <v>18</v>
      </c>
      <c r="L171" s="4" t="s">
        <v>17</v>
      </c>
    </row>
    <row r="172" spans="1:12" x14ac:dyDescent="0.35">
      <c r="A172" s="7">
        <v>171</v>
      </c>
      <c r="B172" s="4" t="s">
        <v>202</v>
      </c>
      <c r="C172" s="4" t="s">
        <v>12</v>
      </c>
      <c r="D172" s="7">
        <v>21</v>
      </c>
      <c r="E172" s="6">
        <v>3.9</v>
      </c>
      <c r="F172" s="6" t="str" cm="1">
        <f t="array" ref="F172">_xlfn.IFS(E172&gt;=3.5,"A",E172&gt;=3,"B",E172&gt;=2.5,"C",E172&gt;=2,"D",E172&lt;2,"F")</f>
        <v>A</v>
      </c>
      <c r="G172" s="4" t="s">
        <v>38</v>
      </c>
      <c r="H172" s="4" t="s">
        <v>195</v>
      </c>
      <c r="I172" s="4" t="s">
        <v>40</v>
      </c>
      <c r="J172" s="4" t="s">
        <v>17</v>
      </c>
      <c r="K172" s="4" t="s">
        <v>24</v>
      </c>
      <c r="L172" s="4" t="s">
        <v>18</v>
      </c>
    </row>
    <row r="173" spans="1:12" x14ac:dyDescent="0.35">
      <c r="A173" s="7">
        <v>172</v>
      </c>
      <c r="B173" s="4" t="s">
        <v>219</v>
      </c>
      <c r="C173" s="4" t="s">
        <v>20</v>
      </c>
      <c r="D173" s="7">
        <v>22</v>
      </c>
      <c r="E173" s="6">
        <v>3.7</v>
      </c>
      <c r="F173" s="6" t="str" cm="1">
        <f t="array" ref="F173">_xlfn.IFS(E173&gt;=3.5,"A",E173&gt;=3,"B",E173&gt;=2.5,"C",E173&gt;=2,"D",E173&lt;2,"F")</f>
        <v>A</v>
      </c>
      <c r="G173" s="4" t="s">
        <v>42</v>
      </c>
      <c r="H173" s="4" t="s">
        <v>197</v>
      </c>
      <c r="I173" s="4" t="s">
        <v>44</v>
      </c>
      <c r="J173" s="4" t="s">
        <v>18</v>
      </c>
      <c r="K173" s="4" t="s">
        <v>17</v>
      </c>
      <c r="L173" s="4" t="s">
        <v>24</v>
      </c>
    </row>
    <row r="174" spans="1:12" x14ac:dyDescent="0.35">
      <c r="A174" s="7">
        <v>173</v>
      </c>
      <c r="B174" s="4" t="s">
        <v>49</v>
      </c>
      <c r="C174" s="4" t="s">
        <v>12</v>
      </c>
      <c r="D174" s="7">
        <v>20</v>
      </c>
      <c r="E174" s="6">
        <v>3.6</v>
      </c>
      <c r="F174" s="6" t="str" cm="1">
        <f t="array" ref="F174">_xlfn.IFS(E174&gt;=3.5,"A",E174&gt;=3,"B",E174&gt;=2.5,"C",E174&gt;=2,"D",E174&lt;2,"F")</f>
        <v>A</v>
      </c>
      <c r="G174" s="4" t="s">
        <v>46</v>
      </c>
      <c r="H174" s="4" t="s">
        <v>198</v>
      </c>
      <c r="I174" s="4" t="s">
        <v>48</v>
      </c>
      <c r="J174" s="4" t="s">
        <v>17</v>
      </c>
      <c r="K174" s="4" t="s">
        <v>18</v>
      </c>
      <c r="L174" s="4" t="s">
        <v>18</v>
      </c>
    </row>
    <row r="175" spans="1:12" x14ac:dyDescent="0.35">
      <c r="A175" s="7">
        <v>174</v>
      </c>
      <c r="B175" s="4" t="s">
        <v>53</v>
      </c>
      <c r="C175" s="4" t="s">
        <v>20</v>
      </c>
      <c r="D175" s="7">
        <v>21</v>
      </c>
      <c r="E175" s="6">
        <v>3.5</v>
      </c>
      <c r="F175" s="6" t="str" cm="1">
        <f t="array" ref="F175">_xlfn.IFS(E175&gt;=3.5,"A",E175&gt;=3,"B",E175&gt;=2.5,"C",E175&gt;=2,"D",E175&lt;2,"F")</f>
        <v>A</v>
      </c>
      <c r="G175" s="4" t="s">
        <v>50</v>
      </c>
      <c r="H175" s="4" t="s">
        <v>200</v>
      </c>
      <c r="I175" s="4" t="s">
        <v>52</v>
      </c>
      <c r="J175" s="4" t="s">
        <v>18</v>
      </c>
      <c r="K175" s="4" t="s">
        <v>17</v>
      </c>
      <c r="L175" s="4" t="s">
        <v>24</v>
      </c>
    </row>
    <row r="176" spans="1:12" x14ac:dyDescent="0.35">
      <c r="A176" s="7">
        <v>175</v>
      </c>
      <c r="B176" s="4" t="s">
        <v>201</v>
      </c>
      <c r="C176" s="4" t="s">
        <v>12</v>
      </c>
      <c r="D176" s="7">
        <v>23</v>
      </c>
      <c r="E176" s="6">
        <v>3.8</v>
      </c>
      <c r="F176" s="6" t="str" cm="1">
        <f t="array" ref="F176">_xlfn.IFS(E176&gt;=3.5,"A",E176&gt;=3,"B",E176&gt;=2.5,"C",E176&gt;=2,"D",E176&lt;2,"F")</f>
        <v>A</v>
      </c>
      <c r="G176" s="4" t="s">
        <v>14</v>
      </c>
      <c r="H176" s="4" t="s">
        <v>58</v>
      </c>
      <c r="I176" s="4" t="s">
        <v>59</v>
      </c>
      <c r="J176" s="4" t="s">
        <v>17</v>
      </c>
      <c r="K176" s="4" t="s">
        <v>18</v>
      </c>
      <c r="L176" s="4" t="s">
        <v>18</v>
      </c>
    </row>
    <row r="177" spans="1:12" x14ac:dyDescent="0.35">
      <c r="A177" s="7">
        <v>176</v>
      </c>
      <c r="B177" s="4" t="s">
        <v>223</v>
      </c>
      <c r="C177" s="4" t="s">
        <v>12</v>
      </c>
      <c r="D177" s="7">
        <v>22</v>
      </c>
      <c r="E177" s="6">
        <v>3.7</v>
      </c>
      <c r="F177" s="6" t="str" cm="1">
        <f t="array" ref="F177">_xlfn.IFS(E177&gt;=3.5,"A",E177&gt;=3,"B",E177&gt;=2.5,"C",E177&gt;=2,"D",E177&lt;2,"F")</f>
        <v>A</v>
      </c>
      <c r="G177" s="4" t="s">
        <v>30</v>
      </c>
      <c r="H177" s="4" t="s">
        <v>31</v>
      </c>
      <c r="I177" s="4" t="s">
        <v>32</v>
      </c>
      <c r="J177" s="4" t="s">
        <v>18</v>
      </c>
      <c r="K177" s="4" t="s">
        <v>17</v>
      </c>
      <c r="L177" s="4" t="s">
        <v>17</v>
      </c>
    </row>
    <row r="178" spans="1:12" x14ac:dyDescent="0.35">
      <c r="A178" s="7">
        <v>177</v>
      </c>
      <c r="B178" s="4" t="s">
        <v>209</v>
      </c>
      <c r="C178" s="4" t="s">
        <v>20</v>
      </c>
      <c r="D178" s="7">
        <v>20</v>
      </c>
      <c r="E178" s="6">
        <v>3.6</v>
      </c>
      <c r="F178" s="6" t="str" cm="1">
        <f t="array" ref="F178">_xlfn.IFS(E178&gt;=3.5,"A",E178&gt;=3,"B",E178&gt;=2.5,"C",E178&gt;=2,"D",E178&lt;2,"F")</f>
        <v>A</v>
      </c>
      <c r="G178" s="4" t="s">
        <v>34</v>
      </c>
      <c r="H178" s="4" t="s">
        <v>214</v>
      </c>
      <c r="I178" s="4" t="s">
        <v>36</v>
      </c>
      <c r="J178" s="4" t="s">
        <v>17</v>
      </c>
      <c r="K178" s="4" t="s">
        <v>24</v>
      </c>
      <c r="L178" s="4" t="s">
        <v>18</v>
      </c>
    </row>
    <row r="179" spans="1:12" x14ac:dyDescent="0.35">
      <c r="A179" s="7">
        <v>178</v>
      </c>
      <c r="B179" s="4" t="s">
        <v>124</v>
      </c>
      <c r="C179" s="4" t="s">
        <v>12</v>
      </c>
      <c r="D179" s="7">
        <v>21</v>
      </c>
      <c r="E179" s="6">
        <v>3.4</v>
      </c>
      <c r="F179" s="6" t="str" cm="1">
        <f t="array" ref="F179">_xlfn.IFS(E179&gt;=3.5,"A",E179&gt;=3,"B",E179&gt;=2.5,"C",E179&gt;=2,"D",E179&lt;2,"F")</f>
        <v>B</v>
      </c>
      <c r="G179" s="4" t="s">
        <v>38</v>
      </c>
      <c r="H179" s="4" t="s">
        <v>58</v>
      </c>
      <c r="I179" s="4" t="s">
        <v>40</v>
      </c>
      <c r="J179" s="4" t="s">
        <v>17</v>
      </c>
      <c r="K179" s="4" t="s">
        <v>24</v>
      </c>
      <c r="L179" s="4" t="s">
        <v>18</v>
      </c>
    </row>
    <row r="180" spans="1:12" x14ac:dyDescent="0.35">
      <c r="A180" s="7">
        <v>179</v>
      </c>
      <c r="B180" s="4" t="s">
        <v>126</v>
      </c>
      <c r="C180" s="4" t="s">
        <v>20</v>
      </c>
      <c r="D180" s="7">
        <v>22</v>
      </c>
      <c r="E180" s="6">
        <v>3.5</v>
      </c>
      <c r="F180" s="6" t="str" cm="1">
        <f t="array" ref="F180">_xlfn.IFS(E180&gt;=3.5,"A",E180&gt;=3,"B",E180&gt;=2.5,"C",E180&gt;=2,"D",E180&lt;2,"F")</f>
        <v>A</v>
      </c>
      <c r="G180" s="4" t="s">
        <v>42</v>
      </c>
      <c r="H180" s="4" t="s">
        <v>215</v>
      </c>
      <c r="I180" s="4" t="s">
        <v>44</v>
      </c>
      <c r="J180" s="4" t="s">
        <v>18</v>
      </c>
      <c r="K180" s="4" t="s">
        <v>17</v>
      </c>
      <c r="L180" s="4" t="s">
        <v>24</v>
      </c>
    </row>
    <row r="181" spans="1:12" x14ac:dyDescent="0.35">
      <c r="A181" s="7">
        <v>180</v>
      </c>
      <c r="B181" s="4" t="s">
        <v>33</v>
      </c>
      <c r="C181" s="4" t="s">
        <v>12</v>
      </c>
      <c r="D181" s="7">
        <v>23</v>
      </c>
      <c r="E181" s="6">
        <v>3.7</v>
      </c>
      <c r="F181" s="6" t="str" cm="1">
        <f t="array" ref="F181">_xlfn.IFS(E181&gt;=3.5,"A",E181&gt;=3,"B",E181&gt;=2.5,"C",E181&gt;=2,"D",E181&lt;2,"F")</f>
        <v>A</v>
      </c>
      <c r="G181" s="4" t="s">
        <v>46</v>
      </c>
      <c r="H181" s="4" t="s">
        <v>216</v>
      </c>
      <c r="I181" s="4" t="s">
        <v>48</v>
      </c>
      <c r="J181" s="4" t="s">
        <v>17</v>
      </c>
      <c r="K181" s="4" t="s">
        <v>17</v>
      </c>
      <c r="L181" s="4" t="s">
        <v>18</v>
      </c>
    </row>
  </sheetData>
  <conditionalFormatting sqref="A1:L181">
    <cfRule type="containsBlanks" dxfId="0" priority="1">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49A8-4C53-434F-8696-A0BD01678AB3}">
  <dimension ref="A1:B181"/>
  <sheetViews>
    <sheetView topLeftCell="D161" zoomScale="107" zoomScaleNormal="88" workbookViewId="0">
      <selection activeCell="I167" sqref="I167"/>
    </sheetView>
  </sheetViews>
  <sheetFormatPr defaultRowHeight="14.5" x14ac:dyDescent="0.35"/>
  <cols>
    <col min="1" max="1" width="24.81640625" bestFit="1" customWidth="1"/>
    <col min="2" max="4" width="17.6328125" bestFit="1" customWidth="1"/>
    <col min="5" max="5" width="22.08984375" bestFit="1" customWidth="1"/>
    <col min="6" max="6" width="22.81640625" bestFit="1" customWidth="1"/>
    <col min="7" max="7" width="11.453125" bestFit="1" customWidth="1"/>
    <col min="8" max="8" width="19.54296875" bestFit="1" customWidth="1"/>
    <col min="9" max="9" width="12.26953125" bestFit="1" customWidth="1"/>
    <col min="10" max="10" width="21.1796875" bestFit="1" customWidth="1"/>
    <col min="11" max="11" width="15.08984375" bestFit="1" customWidth="1"/>
    <col min="12" max="12" width="22.90625" bestFit="1" customWidth="1"/>
    <col min="13" max="13" width="25.6328125" bestFit="1" customWidth="1"/>
    <col min="14" max="14" width="25.90625" bestFit="1" customWidth="1"/>
    <col min="15" max="15" width="12.6328125" bestFit="1" customWidth="1"/>
    <col min="16" max="16" width="14.90625" bestFit="1" customWidth="1"/>
    <col min="17" max="17" width="16.453125" bestFit="1" customWidth="1"/>
    <col min="18" max="18" width="19.26953125" bestFit="1" customWidth="1"/>
    <col min="19" max="19" width="20.26953125" bestFit="1" customWidth="1"/>
    <col min="20" max="20" width="24.90625" bestFit="1" customWidth="1"/>
    <col min="21" max="21" width="12.453125" bestFit="1" customWidth="1"/>
    <col min="22" max="22" width="23.54296875" bestFit="1" customWidth="1"/>
    <col min="23" max="23" width="25.6328125" bestFit="1" customWidth="1"/>
    <col min="24" max="24" width="19.6328125" bestFit="1" customWidth="1"/>
    <col min="25" max="25" width="11.7265625" bestFit="1" customWidth="1"/>
    <col min="26" max="26" width="19.6328125" bestFit="1" customWidth="1"/>
    <col min="27" max="27" width="28.54296875" bestFit="1" customWidth="1"/>
    <col min="28" max="28" width="15.81640625" bestFit="1" customWidth="1"/>
    <col min="29" max="29" width="14.1796875" bestFit="1" customWidth="1"/>
    <col min="30" max="30" width="12.36328125" bestFit="1" customWidth="1"/>
    <col min="31" max="31" width="16.1796875" bestFit="1" customWidth="1"/>
    <col min="32" max="32" width="11" bestFit="1" customWidth="1"/>
    <col min="33" max="33" width="12.1796875" bestFit="1" customWidth="1"/>
    <col min="34" max="34" width="13.81640625" bestFit="1" customWidth="1"/>
    <col min="35" max="35" width="10.7265625" bestFit="1" customWidth="1"/>
  </cols>
  <sheetData>
    <row r="1" spans="1:2" x14ac:dyDescent="0.35">
      <c r="A1" s="8" t="s">
        <v>8</v>
      </c>
      <c r="B1" t="s">
        <v>226</v>
      </c>
    </row>
    <row r="2" spans="1:2" x14ac:dyDescent="0.35">
      <c r="A2" s="9" t="s">
        <v>24</v>
      </c>
      <c r="B2">
        <v>46</v>
      </c>
    </row>
    <row r="3" spans="1:2" x14ac:dyDescent="0.35">
      <c r="A3" s="9" t="s">
        <v>18</v>
      </c>
      <c r="B3">
        <v>64</v>
      </c>
    </row>
    <row r="4" spans="1:2" x14ac:dyDescent="0.35">
      <c r="A4" s="9" t="s">
        <v>17</v>
      </c>
      <c r="B4">
        <v>70</v>
      </c>
    </row>
    <row r="5" spans="1:2" x14ac:dyDescent="0.35">
      <c r="A5" s="9" t="s">
        <v>224</v>
      </c>
      <c r="B5">
        <v>180</v>
      </c>
    </row>
    <row r="18" spans="1:2" x14ac:dyDescent="0.35">
      <c r="A18" s="8" t="s">
        <v>9</v>
      </c>
      <c r="B18" t="s">
        <v>226</v>
      </c>
    </row>
    <row r="19" spans="1:2" x14ac:dyDescent="0.35">
      <c r="A19" s="9" t="s">
        <v>18</v>
      </c>
      <c r="B19">
        <v>41</v>
      </c>
    </row>
    <row r="20" spans="1:2" x14ac:dyDescent="0.35">
      <c r="A20" s="9" t="s">
        <v>24</v>
      </c>
      <c r="B20">
        <v>60</v>
      </c>
    </row>
    <row r="21" spans="1:2" x14ac:dyDescent="0.35">
      <c r="A21" s="9" t="s">
        <v>17</v>
      </c>
      <c r="B21">
        <v>79</v>
      </c>
    </row>
    <row r="22" spans="1:2" x14ac:dyDescent="0.35">
      <c r="A22" s="9" t="s">
        <v>224</v>
      </c>
      <c r="B22">
        <v>180</v>
      </c>
    </row>
    <row r="27" spans="1:2" x14ac:dyDescent="0.35">
      <c r="A27" s="8" t="s">
        <v>10</v>
      </c>
      <c r="B27" t="s">
        <v>226</v>
      </c>
    </row>
    <row r="28" spans="1:2" x14ac:dyDescent="0.35">
      <c r="A28" s="9" t="s">
        <v>24</v>
      </c>
      <c r="B28">
        <v>47</v>
      </c>
    </row>
    <row r="29" spans="1:2" x14ac:dyDescent="0.35">
      <c r="A29" s="9" t="s">
        <v>18</v>
      </c>
      <c r="B29">
        <v>64</v>
      </c>
    </row>
    <row r="30" spans="1:2" x14ac:dyDescent="0.35">
      <c r="A30" s="9" t="s">
        <v>17</v>
      </c>
      <c r="B30">
        <v>69</v>
      </c>
    </row>
    <row r="31" spans="1:2" x14ac:dyDescent="0.35">
      <c r="A31" s="9" t="s">
        <v>224</v>
      </c>
      <c r="B31">
        <v>180</v>
      </c>
    </row>
    <row r="48" spans="1:2" x14ac:dyDescent="0.35">
      <c r="A48" s="8" t="s">
        <v>5</v>
      </c>
      <c r="B48" t="s">
        <v>225</v>
      </c>
    </row>
    <row r="49" spans="1:2" x14ac:dyDescent="0.35">
      <c r="A49" s="9" t="s">
        <v>58</v>
      </c>
      <c r="B49" s="6">
        <v>3.9</v>
      </c>
    </row>
    <row r="50" spans="1:2" x14ac:dyDescent="0.35">
      <c r="A50" s="9" t="s">
        <v>178</v>
      </c>
      <c r="B50" s="6">
        <v>3.9</v>
      </c>
    </row>
    <row r="51" spans="1:2" x14ac:dyDescent="0.35">
      <c r="A51" s="9" t="s">
        <v>67</v>
      </c>
      <c r="B51" s="6">
        <v>3.8</v>
      </c>
    </row>
    <row r="52" spans="1:2" x14ac:dyDescent="0.35">
      <c r="A52" s="9" t="s">
        <v>161</v>
      </c>
      <c r="B52" s="6">
        <v>3.8</v>
      </c>
    </row>
    <row r="53" spans="1:2" x14ac:dyDescent="0.35">
      <c r="A53" s="9" t="s">
        <v>172</v>
      </c>
      <c r="B53" s="6">
        <v>3.8</v>
      </c>
    </row>
    <row r="54" spans="1:2" x14ac:dyDescent="0.35">
      <c r="A54" s="9" t="s">
        <v>38</v>
      </c>
      <c r="B54" s="6">
        <v>3.7461538461538457</v>
      </c>
    </row>
    <row r="55" spans="1:2" x14ac:dyDescent="0.35">
      <c r="A55" s="9" t="s">
        <v>35</v>
      </c>
      <c r="B55" s="6">
        <v>3.7</v>
      </c>
    </row>
    <row r="56" spans="1:2" x14ac:dyDescent="0.35">
      <c r="A56" s="9" t="s">
        <v>145</v>
      </c>
      <c r="B56" s="6">
        <v>3.7</v>
      </c>
    </row>
    <row r="57" spans="1:2" x14ac:dyDescent="0.35">
      <c r="A57" s="9" t="s">
        <v>224</v>
      </c>
      <c r="B57" s="6">
        <v>3.7692307692307687</v>
      </c>
    </row>
    <row r="91" spans="1:2" x14ac:dyDescent="0.35">
      <c r="A91" s="8" t="s">
        <v>2</v>
      </c>
      <c r="B91" t="s">
        <v>225</v>
      </c>
    </row>
    <row r="92" spans="1:2" x14ac:dyDescent="0.35">
      <c r="A92" s="10">
        <v>20</v>
      </c>
      <c r="B92" s="6">
        <v>3.5088235294117633</v>
      </c>
    </row>
    <row r="93" spans="1:2" x14ac:dyDescent="0.35">
      <c r="A93" s="10">
        <v>21</v>
      </c>
      <c r="B93" s="6">
        <v>3.6458333333333339</v>
      </c>
    </row>
    <row r="94" spans="1:2" x14ac:dyDescent="0.35">
      <c r="A94" s="10">
        <v>22</v>
      </c>
      <c r="B94" s="6">
        <v>3.6433962264150939</v>
      </c>
    </row>
    <row r="95" spans="1:2" x14ac:dyDescent="0.35">
      <c r="A95" s="10">
        <v>23</v>
      </c>
      <c r="B95" s="6">
        <v>3.6055555555555543</v>
      </c>
    </row>
    <row r="96" spans="1:2" x14ac:dyDescent="0.35">
      <c r="A96" s="10">
        <v>29</v>
      </c>
      <c r="B96" s="6">
        <v>3.6500000000000004</v>
      </c>
    </row>
    <row r="97" spans="1:2" x14ac:dyDescent="0.35">
      <c r="A97" s="10">
        <v>31</v>
      </c>
      <c r="B97" s="6">
        <v>3.5</v>
      </c>
    </row>
    <row r="98" spans="1:2" x14ac:dyDescent="0.35">
      <c r="A98" s="10">
        <v>33</v>
      </c>
      <c r="B98" s="6">
        <v>3.7</v>
      </c>
    </row>
    <row r="99" spans="1:2" x14ac:dyDescent="0.35">
      <c r="A99" s="10">
        <v>35</v>
      </c>
      <c r="B99" s="6">
        <v>3.9</v>
      </c>
    </row>
    <row r="100" spans="1:2" x14ac:dyDescent="0.35">
      <c r="A100" s="10">
        <v>37</v>
      </c>
      <c r="B100" s="6">
        <v>3.75</v>
      </c>
    </row>
    <row r="101" spans="1:2" x14ac:dyDescent="0.35">
      <c r="A101" s="10" t="s">
        <v>224</v>
      </c>
      <c r="B101" s="6">
        <v>3.6149999999999971</v>
      </c>
    </row>
    <row r="105" spans="1:2" x14ac:dyDescent="0.35">
      <c r="A105" s="8" t="s">
        <v>2</v>
      </c>
      <c r="B105" t="s">
        <v>226</v>
      </c>
    </row>
    <row r="106" spans="1:2" x14ac:dyDescent="0.35">
      <c r="A106" s="9" t="s">
        <v>20</v>
      </c>
      <c r="B106">
        <v>78</v>
      </c>
    </row>
    <row r="107" spans="1:2" x14ac:dyDescent="0.35">
      <c r="A107" s="9" t="s">
        <v>12</v>
      </c>
      <c r="B107">
        <v>102</v>
      </c>
    </row>
    <row r="108" spans="1:2" x14ac:dyDescent="0.35">
      <c r="A108" s="9" t="s">
        <v>224</v>
      </c>
      <c r="B108">
        <v>180</v>
      </c>
    </row>
    <row r="136" spans="1:2" x14ac:dyDescent="0.35">
      <c r="A136" s="8" t="s">
        <v>233</v>
      </c>
      <c r="B136" t="s">
        <v>225</v>
      </c>
    </row>
    <row r="137" spans="1:2" x14ac:dyDescent="0.35">
      <c r="A137" s="9" t="s">
        <v>151</v>
      </c>
      <c r="B137" s="6">
        <v>3.9</v>
      </c>
    </row>
    <row r="138" spans="1:2" x14ac:dyDescent="0.35">
      <c r="A138" s="9" t="s">
        <v>180</v>
      </c>
      <c r="B138" s="6">
        <v>3.9</v>
      </c>
    </row>
    <row r="139" spans="1:2" x14ac:dyDescent="0.35">
      <c r="A139" s="9" t="s">
        <v>163</v>
      </c>
      <c r="B139" s="6">
        <v>3.8</v>
      </c>
    </row>
    <row r="140" spans="1:2" x14ac:dyDescent="0.35">
      <c r="A140" s="9" t="s">
        <v>144</v>
      </c>
      <c r="B140" s="6">
        <v>3.8</v>
      </c>
    </row>
    <row r="141" spans="1:2" x14ac:dyDescent="0.35">
      <c r="A141" s="9" t="s">
        <v>174</v>
      </c>
      <c r="B141" s="6">
        <v>3.8</v>
      </c>
    </row>
    <row r="142" spans="1:2" x14ac:dyDescent="0.35">
      <c r="A142" s="9" t="s">
        <v>59</v>
      </c>
      <c r="B142" s="6">
        <v>3.7545454545454535</v>
      </c>
    </row>
    <row r="143" spans="1:2" x14ac:dyDescent="0.35">
      <c r="A143" s="9" t="s">
        <v>40</v>
      </c>
      <c r="B143" s="6">
        <v>3.7461538461538457</v>
      </c>
    </row>
    <row r="144" spans="1:2" x14ac:dyDescent="0.35">
      <c r="A144" s="9" t="s">
        <v>28</v>
      </c>
      <c r="B144" s="6">
        <v>3.7214285714285711</v>
      </c>
    </row>
    <row r="145" spans="1:2" x14ac:dyDescent="0.35">
      <c r="A145" s="9" t="s">
        <v>147</v>
      </c>
      <c r="B145" s="6">
        <v>3.7</v>
      </c>
    </row>
    <row r="146" spans="1:2" x14ac:dyDescent="0.35">
      <c r="A146" s="9" t="s">
        <v>121</v>
      </c>
      <c r="B146" s="6">
        <v>3.7</v>
      </c>
    </row>
    <row r="147" spans="1:2" x14ac:dyDescent="0.35">
      <c r="A147" s="9" t="s">
        <v>165</v>
      </c>
      <c r="B147" s="6">
        <v>3.7</v>
      </c>
    </row>
    <row r="148" spans="1:2" x14ac:dyDescent="0.35">
      <c r="A148" s="9" t="s">
        <v>48</v>
      </c>
      <c r="B148" s="6">
        <v>3.6812500000000004</v>
      </c>
    </row>
    <row r="149" spans="1:2" x14ac:dyDescent="0.35">
      <c r="A149" s="9" t="s">
        <v>36</v>
      </c>
      <c r="B149" s="6">
        <v>3.6352941176470588</v>
      </c>
    </row>
    <row r="150" spans="1:2" x14ac:dyDescent="0.35">
      <c r="A150" s="9" t="s">
        <v>189</v>
      </c>
      <c r="B150" s="6">
        <v>3.6333333333333329</v>
      </c>
    </row>
    <row r="151" spans="1:2" x14ac:dyDescent="0.35">
      <c r="A151" s="9" t="s">
        <v>32</v>
      </c>
      <c r="B151" s="6">
        <v>3.6315789473684217</v>
      </c>
    </row>
    <row r="152" spans="1:2" x14ac:dyDescent="0.35">
      <c r="A152" s="9" t="s">
        <v>56</v>
      </c>
      <c r="B152" s="6">
        <v>3.6000000000000005</v>
      </c>
    </row>
    <row r="153" spans="1:2" x14ac:dyDescent="0.35">
      <c r="A153" s="9" t="s">
        <v>139</v>
      </c>
      <c r="B153" s="6">
        <v>3.6</v>
      </c>
    </row>
    <row r="154" spans="1:2" x14ac:dyDescent="0.35">
      <c r="A154" s="9" t="s">
        <v>177</v>
      </c>
      <c r="B154" s="6">
        <v>3.6</v>
      </c>
    </row>
    <row r="155" spans="1:2" x14ac:dyDescent="0.35">
      <c r="A155" s="9" t="s">
        <v>183</v>
      </c>
      <c r="B155" s="6">
        <v>3.6</v>
      </c>
    </row>
    <row r="156" spans="1:2" x14ac:dyDescent="0.35">
      <c r="A156" s="9" t="s">
        <v>44</v>
      </c>
      <c r="B156" s="6">
        <v>3.5750000000000002</v>
      </c>
    </row>
    <row r="157" spans="1:2" x14ac:dyDescent="0.35">
      <c r="A157" s="9" t="s">
        <v>132</v>
      </c>
      <c r="B157" s="6">
        <v>3.5500000000000007</v>
      </c>
    </row>
    <row r="158" spans="1:2" x14ac:dyDescent="0.35">
      <c r="A158" s="9" t="s">
        <v>160</v>
      </c>
      <c r="B158" s="6">
        <v>3.5</v>
      </c>
    </row>
    <row r="159" spans="1:2" x14ac:dyDescent="0.35">
      <c r="A159" s="9" t="s">
        <v>171</v>
      </c>
      <c r="B159" s="6">
        <v>3.5</v>
      </c>
    </row>
    <row r="160" spans="1:2" x14ac:dyDescent="0.35">
      <c r="A160" s="9" t="s">
        <v>65</v>
      </c>
      <c r="B160" s="6">
        <v>3.5</v>
      </c>
    </row>
    <row r="161" spans="1:2" x14ac:dyDescent="0.35">
      <c r="A161" s="9" t="s">
        <v>128</v>
      </c>
      <c r="B161" s="6">
        <v>3.5</v>
      </c>
    </row>
    <row r="162" spans="1:2" x14ac:dyDescent="0.35">
      <c r="A162" s="9" t="s">
        <v>16</v>
      </c>
      <c r="B162" s="6">
        <v>3.5</v>
      </c>
    </row>
    <row r="163" spans="1:2" x14ac:dyDescent="0.35">
      <c r="A163" s="9" t="s">
        <v>52</v>
      </c>
      <c r="B163" s="6">
        <v>3.4647058823529413</v>
      </c>
    </row>
    <row r="164" spans="1:2" x14ac:dyDescent="0.35">
      <c r="A164" s="9" t="s">
        <v>23</v>
      </c>
      <c r="B164" s="6">
        <v>3.4125000000000005</v>
      </c>
    </row>
    <row r="165" spans="1:2" x14ac:dyDescent="0.35">
      <c r="A165" s="9" t="s">
        <v>150</v>
      </c>
      <c r="B165" s="6">
        <v>3.4</v>
      </c>
    </row>
    <row r="166" spans="1:2" x14ac:dyDescent="0.35">
      <c r="A166" s="9" t="s">
        <v>135</v>
      </c>
      <c r="B166" s="6">
        <v>3.4</v>
      </c>
    </row>
    <row r="167" spans="1:2" x14ac:dyDescent="0.35">
      <c r="A167" s="9" t="s">
        <v>157</v>
      </c>
      <c r="B167" s="6">
        <v>3.3</v>
      </c>
    </row>
    <row r="168" spans="1:2" x14ac:dyDescent="0.35">
      <c r="A168" s="9" t="s">
        <v>168</v>
      </c>
      <c r="B168" s="6">
        <v>3.3</v>
      </c>
    </row>
    <row r="169" spans="1:2" x14ac:dyDescent="0.35">
      <c r="A169" s="9" t="s">
        <v>142</v>
      </c>
      <c r="B169" s="6">
        <v>3.2</v>
      </c>
    </row>
    <row r="170" spans="1:2" x14ac:dyDescent="0.35">
      <c r="A170" s="9" t="s">
        <v>224</v>
      </c>
      <c r="B170" s="6">
        <v>3.6150000000000011</v>
      </c>
    </row>
    <row r="174" spans="1:2" x14ac:dyDescent="0.35">
      <c r="A174" s="8" t="s">
        <v>7</v>
      </c>
      <c r="B174" t="s">
        <v>226</v>
      </c>
    </row>
    <row r="175" spans="1:2" x14ac:dyDescent="0.35">
      <c r="A175" s="9" t="s">
        <v>32</v>
      </c>
      <c r="B175" s="14">
        <v>19</v>
      </c>
    </row>
    <row r="176" spans="1:2" x14ac:dyDescent="0.35">
      <c r="A176" s="9" t="s">
        <v>52</v>
      </c>
      <c r="B176" s="14">
        <v>17</v>
      </c>
    </row>
    <row r="177" spans="1:2" x14ac:dyDescent="0.35">
      <c r="A177" s="9" t="s">
        <v>36</v>
      </c>
      <c r="B177" s="14">
        <v>17</v>
      </c>
    </row>
    <row r="178" spans="1:2" x14ac:dyDescent="0.35">
      <c r="A178" s="9" t="s">
        <v>44</v>
      </c>
      <c r="B178" s="14">
        <v>16</v>
      </c>
    </row>
    <row r="179" spans="1:2" x14ac:dyDescent="0.35">
      <c r="A179" s="9" t="s">
        <v>48</v>
      </c>
      <c r="B179" s="14">
        <v>16</v>
      </c>
    </row>
    <row r="180" spans="1:2" x14ac:dyDescent="0.35">
      <c r="A180" s="9" t="s">
        <v>28</v>
      </c>
      <c r="B180" s="14">
        <v>14</v>
      </c>
    </row>
    <row r="181" spans="1:2" x14ac:dyDescent="0.35">
      <c r="A181" s="9" t="s">
        <v>224</v>
      </c>
      <c r="B181" s="14">
        <v>99</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4DB7-997F-41C6-A979-AA386A2C7FE5}">
  <dimension ref="A1"/>
  <sheetViews>
    <sheetView showGridLines="0" showRowColHeaders="0" zoomScale="24" zoomScaleNormal="10" workbookViewId="0">
      <selection activeCell="AP49" sqref="AP4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CF9B-F09E-4EF3-A232-E3A7E0C194AB}">
  <dimension ref="A1"/>
  <sheetViews>
    <sheetView showGridLines="0" showRowColHeaders="0" tabSelected="1" zoomScale="35" zoomScaleNormal="63" workbookViewId="0">
      <selection activeCell="AR37" sqref="AR3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C8D57-6C09-493B-949A-E18CEC4AA2F4}">
  <dimension ref="A1:D127"/>
  <sheetViews>
    <sheetView zoomScale="73" workbookViewId="0">
      <selection activeCell="M14" activeCellId="1" sqref="R91 M14"/>
    </sheetView>
  </sheetViews>
  <sheetFormatPr defaultRowHeight="14.5" x14ac:dyDescent="0.35"/>
  <cols>
    <col min="1" max="1" width="26.08984375" bestFit="1" customWidth="1"/>
    <col min="2" max="2" width="18.54296875" bestFit="1" customWidth="1"/>
    <col min="3" max="3" width="3.1796875" bestFit="1" customWidth="1"/>
    <col min="4" max="4" width="10.90625" bestFit="1" customWidth="1"/>
  </cols>
  <sheetData>
    <row r="1" spans="1:2" x14ac:dyDescent="0.35">
      <c r="A1" s="8" t="s">
        <v>8</v>
      </c>
      <c r="B1" t="s">
        <v>235</v>
      </c>
    </row>
    <row r="2" spans="1:2" x14ac:dyDescent="0.35">
      <c r="A2" s="9" t="s">
        <v>236</v>
      </c>
      <c r="B2">
        <v>150</v>
      </c>
    </row>
    <row r="3" spans="1:2" x14ac:dyDescent="0.35">
      <c r="A3" s="13" t="s">
        <v>24</v>
      </c>
      <c r="B3">
        <v>29</v>
      </c>
    </row>
    <row r="4" spans="1:2" x14ac:dyDescent="0.35">
      <c r="A4" s="13" t="s">
        <v>18</v>
      </c>
      <c r="B4">
        <v>58</v>
      </c>
    </row>
    <row r="5" spans="1:2" x14ac:dyDescent="0.35">
      <c r="A5" s="13" t="s">
        <v>17</v>
      </c>
      <c r="B5">
        <v>63</v>
      </c>
    </row>
    <row r="6" spans="1:2" x14ac:dyDescent="0.35">
      <c r="A6" s="9" t="s">
        <v>237</v>
      </c>
      <c r="B6">
        <v>30</v>
      </c>
    </row>
    <row r="7" spans="1:2" x14ac:dyDescent="0.35">
      <c r="A7" s="13" t="s">
        <v>18</v>
      </c>
      <c r="B7">
        <v>6</v>
      </c>
    </row>
    <row r="8" spans="1:2" x14ac:dyDescent="0.35">
      <c r="A8" s="13" t="s">
        <v>17</v>
      </c>
      <c r="B8">
        <v>7</v>
      </c>
    </row>
    <row r="9" spans="1:2" x14ac:dyDescent="0.35">
      <c r="A9" s="13" t="s">
        <v>24</v>
      </c>
      <c r="B9">
        <v>17</v>
      </c>
    </row>
    <row r="10" spans="1:2" x14ac:dyDescent="0.35">
      <c r="A10" s="9" t="s">
        <v>224</v>
      </c>
      <c r="B10">
        <v>180</v>
      </c>
    </row>
    <row r="21" spans="1:2" x14ac:dyDescent="0.35">
      <c r="A21" s="8" t="s">
        <v>9</v>
      </c>
      <c r="B21" t="s">
        <v>235</v>
      </c>
    </row>
    <row r="22" spans="1:2" x14ac:dyDescent="0.35">
      <c r="A22" s="9" t="s">
        <v>236</v>
      </c>
      <c r="B22">
        <v>150</v>
      </c>
    </row>
    <row r="23" spans="1:2" x14ac:dyDescent="0.35">
      <c r="A23" s="13" t="s">
        <v>18</v>
      </c>
      <c r="B23">
        <v>29</v>
      </c>
    </row>
    <row r="24" spans="1:2" x14ac:dyDescent="0.35">
      <c r="A24" s="13" t="s">
        <v>24</v>
      </c>
      <c r="B24">
        <v>54</v>
      </c>
    </row>
    <row r="25" spans="1:2" x14ac:dyDescent="0.35">
      <c r="A25" s="13" t="s">
        <v>17</v>
      </c>
      <c r="B25">
        <v>67</v>
      </c>
    </row>
    <row r="26" spans="1:2" x14ac:dyDescent="0.35">
      <c r="A26" s="9" t="s">
        <v>237</v>
      </c>
      <c r="B26">
        <v>30</v>
      </c>
    </row>
    <row r="27" spans="1:2" x14ac:dyDescent="0.35">
      <c r="A27" s="13" t="s">
        <v>24</v>
      </c>
      <c r="B27">
        <v>6</v>
      </c>
    </row>
    <row r="28" spans="1:2" x14ac:dyDescent="0.35">
      <c r="A28" s="13" t="s">
        <v>17</v>
      </c>
      <c r="B28">
        <v>12</v>
      </c>
    </row>
    <row r="29" spans="1:2" x14ac:dyDescent="0.35">
      <c r="A29" s="13" t="s">
        <v>18</v>
      </c>
      <c r="B29">
        <v>12</v>
      </c>
    </row>
    <row r="30" spans="1:2" x14ac:dyDescent="0.35">
      <c r="A30" s="9" t="s">
        <v>224</v>
      </c>
      <c r="B30">
        <v>180</v>
      </c>
    </row>
    <row r="41" spans="1:2" x14ac:dyDescent="0.35">
      <c r="A41" s="8" t="s">
        <v>10</v>
      </c>
      <c r="B41" t="s">
        <v>235</v>
      </c>
    </row>
    <row r="42" spans="1:2" x14ac:dyDescent="0.35">
      <c r="A42" s="9" t="s">
        <v>236</v>
      </c>
      <c r="B42">
        <v>150</v>
      </c>
    </row>
    <row r="43" spans="1:2" x14ac:dyDescent="0.35">
      <c r="A43" s="13" t="s">
        <v>24</v>
      </c>
      <c r="B43">
        <v>45</v>
      </c>
    </row>
    <row r="44" spans="1:2" x14ac:dyDescent="0.35">
      <c r="A44" s="13" t="s">
        <v>18</v>
      </c>
      <c r="B44">
        <v>51</v>
      </c>
    </row>
    <row r="45" spans="1:2" x14ac:dyDescent="0.35">
      <c r="A45" s="13" t="s">
        <v>17</v>
      </c>
      <c r="B45">
        <v>54</v>
      </c>
    </row>
    <row r="46" spans="1:2" x14ac:dyDescent="0.35">
      <c r="A46" s="9" t="s">
        <v>237</v>
      </c>
      <c r="B46">
        <v>30</v>
      </c>
    </row>
    <row r="47" spans="1:2" x14ac:dyDescent="0.35">
      <c r="A47" s="13" t="s">
        <v>24</v>
      </c>
      <c r="B47">
        <v>2</v>
      </c>
    </row>
    <row r="48" spans="1:2" x14ac:dyDescent="0.35">
      <c r="A48" s="13" t="s">
        <v>18</v>
      </c>
      <c r="B48">
        <v>13</v>
      </c>
    </row>
    <row r="49" spans="1:4" x14ac:dyDescent="0.35">
      <c r="A49" s="13" t="s">
        <v>17</v>
      </c>
      <c r="B49">
        <v>15</v>
      </c>
    </row>
    <row r="50" spans="1:4" x14ac:dyDescent="0.35">
      <c r="A50" s="9" t="s">
        <v>224</v>
      </c>
      <c r="B50">
        <v>180</v>
      </c>
    </row>
    <row r="59" spans="1:4" x14ac:dyDescent="0.35">
      <c r="A59" s="8" t="s">
        <v>235</v>
      </c>
      <c r="B59" s="8" t="s">
        <v>238</v>
      </c>
    </row>
    <row r="60" spans="1:4" x14ac:dyDescent="0.35">
      <c r="A60" s="8" t="s">
        <v>2</v>
      </c>
      <c r="B60" t="s">
        <v>236</v>
      </c>
      <c r="C60" t="s">
        <v>237</v>
      </c>
      <c r="D60" t="s">
        <v>224</v>
      </c>
    </row>
    <row r="61" spans="1:4" x14ac:dyDescent="0.35">
      <c r="A61" s="10" t="s">
        <v>239</v>
      </c>
      <c r="B61">
        <v>141</v>
      </c>
      <c r="C61">
        <v>30</v>
      </c>
      <c r="D61">
        <v>171</v>
      </c>
    </row>
    <row r="62" spans="1:4" x14ac:dyDescent="0.35">
      <c r="A62" s="10" t="s">
        <v>240</v>
      </c>
      <c r="B62">
        <v>2</v>
      </c>
      <c r="D62">
        <v>2</v>
      </c>
    </row>
    <row r="63" spans="1:4" x14ac:dyDescent="0.35">
      <c r="A63" s="10" t="s">
        <v>241</v>
      </c>
      <c r="B63">
        <v>3</v>
      </c>
      <c r="D63">
        <v>3</v>
      </c>
    </row>
    <row r="64" spans="1:4" x14ac:dyDescent="0.35">
      <c r="A64" s="10" t="s">
        <v>242</v>
      </c>
      <c r="B64">
        <v>4</v>
      </c>
      <c r="D64">
        <v>4</v>
      </c>
    </row>
    <row r="65" spans="1:4" x14ac:dyDescent="0.35">
      <c r="A65" s="10" t="s">
        <v>224</v>
      </c>
      <c r="B65">
        <v>150</v>
      </c>
      <c r="C65">
        <v>30</v>
      </c>
      <c r="D65">
        <v>180</v>
      </c>
    </row>
    <row r="79" spans="1:4" x14ac:dyDescent="0.35">
      <c r="A79" s="8" t="s">
        <v>235</v>
      </c>
      <c r="B79" s="8" t="s">
        <v>238</v>
      </c>
    </row>
    <row r="80" spans="1:4" x14ac:dyDescent="0.35">
      <c r="A80" s="8" t="s">
        <v>5</v>
      </c>
      <c r="B80" t="s">
        <v>236</v>
      </c>
      <c r="C80" t="s">
        <v>237</v>
      </c>
      <c r="D80" t="s">
        <v>224</v>
      </c>
    </row>
    <row r="81" spans="1:4" x14ac:dyDescent="0.35">
      <c r="A81" s="9" t="s">
        <v>14</v>
      </c>
      <c r="B81">
        <v>17</v>
      </c>
      <c r="C81">
        <v>2</v>
      </c>
      <c r="D81">
        <v>19</v>
      </c>
    </row>
    <row r="82" spans="1:4" x14ac:dyDescent="0.35">
      <c r="A82" s="9" t="s">
        <v>34</v>
      </c>
      <c r="B82">
        <v>17</v>
      </c>
      <c r="C82">
        <v>1</v>
      </c>
      <c r="D82">
        <v>18</v>
      </c>
    </row>
    <row r="83" spans="1:4" x14ac:dyDescent="0.35">
      <c r="A83" s="9" t="s">
        <v>30</v>
      </c>
      <c r="B83">
        <v>16</v>
      </c>
      <c r="C83">
        <v>3</v>
      </c>
      <c r="D83">
        <v>19</v>
      </c>
    </row>
    <row r="84" spans="1:4" x14ac:dyDescent="0.35">
      <c r="A84" s="9" t="s">
        <v>42</v>
      </c>
      <c r="B84">
        <v>15</v>
      </c>
      <c r="C84">
        <v>1</v>
      </c>
      <c r="D84">
        <v>16</v>
      </c>
    </row>
    <row r="85" spans="1:4" x14ac:dyDescent="0.35">
      <c r="A85" s="9" t="s">
        <v>46</v>
      </c>
      <c r="B85">
        <v>15</v>
      </c>
      <c r="C85">
        <v>1</v>
      </c>
      <c r="D85">
        <v>16</v>
      </c>
    </row>
    <row r="86" spans="1:4" x14ac:dyDescent="0.35">
      <c r="A86" s="9" t="s">
        <v>54</v>
      </c>
      <c r="B86">
        <v>13</v>
      </c>
      <c r="D86">
        <v>13</v>
      </c>
    </row>
    <row r="87" spans="1:4" x14ac:dyDescent="0.35">
      <c r="A87" s="9" t="s">
        <v>38</v>
      </c>
      <c r="B87">
        <v>11</v>
      </c>
      <c r="C87">
        <v>2</v>
      </c>
      <c r="D87">
        <v>13</v>
      </c>
    </row>
    <row r="88" spans="1:4" x14ac:dyDescent="0.35">
      <c r="A88" s="9" t="s">
        <v>50</v>
      </c>
      <c r="B88">
        <v>9</v>
      </c>
      <c r="C88">
        <v>8</v>
      </c>
      <c r="D88">
        <v>17</v>
      </c>
    </row>
    <row r="89" spans="1:4" x14ac:dyDescent="0.35">
      <c r="A89" s="9" t="s">
        <v>21</v>
      </c>
      <c r="B89">
        <v>7</v>
      </c>
      <c r="C89">
        <v>6</v>
      </c>
      <c r="D89">
        <v>13</v>
      </c>
    </row>
    <row r="90" spans="1:4" x14ac:dyDescent="0.35">
      <c r="A90" s="9" t="s">
        <v>224</v>
      </c>
      <c r="B90">
        <v>120</v>
      </c>
      <c r="C90">
        <v>24</v>
      </c>
      <c r="D90">
        <v>144</v>
      </c>
    </row>
    <row r="103" spans="1:4" x14ac:dyDescent="0.35">
      <c r="A103" s="8" t="s">
        <v>235</v>
      </c>
      <c r="B103" s="8" t="s">
        <v>238</v>
      </c>
    </row>
    <row r="104" spans="1:4" x14ac:dyDescent="0.35">
      <c r="A104" s="8" t="s">
        <v>7</v>
      </c>
      <c r="B104" t="s">
        <v>236</v>
      </c>
      <c r="C104" t="s">
        <v>237</v>
      </c>
      <c r="D104" t="s">
        <v>224</v>
      </c>
    </row>
    <row r="105" spans="1:4" x14ac:dyDescent="0.35">
      <c r="A105" s="9" t="s">
        <v>32</v>
      </c>
      <c r="B105">
        <v>16</v>
      </c>
      <c r="C105">
        <v>3</v>
      </c>
      <c r="D105">
        <v>19</v>
      </c>
    </row>
    <row r="106" spans="1:4" x14ac:dyDescent="0.35">
      <c r="A106" s="9" t="s">
        <v>36</v>
      </c>
      <c r="B106">
        <v>16</v>
      </c>
      <c r="C106">
        <v>1</v>
      </c>
      <c r="D106">
        <v>17</v>
      </c>
    </row>
    <row r="107" spans="1:4" x14ac:dyDescent="0.35">
      <c r="A107" s="9" t="s">
        <v>44</v>
      </c>
      <c r="B107">
        <v>15</v>
      </c>
      <c r="C107">
        <v>1</v>
      </c>
      <c r="D107">
        <v>16</v>
      </c>
    </row>
    <row r="108" spans="1:4" x14ac:dyDescent="0.35">
      <c r="A108" s="9" t="s">
        <v>48</v>
      </c>
      <c r="B108">
        <v>15</v>
      </c>
      <c r="C108">
        <v>1</v>
      </c>
      <c r="D108">
        <v>16</v>
      </c>
    </row>
    <row r="109" spans="1:4" x14ac:dyDescent="0.35">
      <c r="A109" s="9" t="s">
        <v>28</v>
      </c>
      <c r="B109">
        <v>13</v>
      </c>
      <c r="C109">
        <v>1</v>
      </c>
      <c r="D109">
        <v>14</v>
      </c>
    </row>
    <row r="110" spans="1:4" x14ac:dyDescent="0.35">
      <c r="A110" s="9" t="s">
        <v>52</v>
      </c>
      <c r="B110">
        <v>9</v>
      </c>
      <c r="C110">
        <v>8</v>
      </c>
      <c r="D110">
        <v>17</v>
      </c>
    </row>
    <row r="111" spans="1:4" x14ac:dyDescent="0.35">
      <c r="A111" s="9" t="s">
        <v>224</v>
      </c>
      <c r="B111">
        <v>84</v>
      </c>
      <c r="C111">
        <v>15</v>
      </c>
      <c r="D111">
        <v>99</v>
      </c>
    </row>
    <row r="124" spans="1:2" x14ac:dyDescent="0.35">
      <c r="A124" s="8" t="s">
        <v>1</v>
      </c>
      <c r="B124" t="s">
        <v>244</v>
      </c>
    </row>
    <row r="125" spans="1:2" x14ac:dyDescent="0.35">
      <c r="A125" s="9" t="s">
        <v>20</v>
      </c>
      <c r="B125">
        <v>78</v>
      </c>
    </row>
    <row r="126" spans="1:2" x14ac:dyDescent="0.35">
      <c r="A126" s="9" t="s">
        <v>12</v>
      </c>
      <c r="B126">
        <v>102</v>
      </c>
    </row>
    <row r="127" spans="1:2" x14ac:dyDescent="0.35">
      <c r="A127" s="9" t="s">
        <v>224</v>
      </c>
      <c r="B127">
        <v>180</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Uncleaned</vt:lpstr>
      <vt:lpstr>Cleaned</vt:lpstr>
      <vt:lpstr>pivot_table</vt:lpstr>
      <vt:lpstr>dashboard (2)</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Ifeoluwa Akingbasote</cp:lastModifiedBy>
  <dcterms:created xsi:type="dcterms:W3CDTF">2026-07-19T20:31:27Z</dcterms:created>
  <dcterms:modified xsi:type="dcterms:W3CDTF">2026-07-28T08:54:04Z</dcterms:modified>
</cp:coreProperties>
</file>